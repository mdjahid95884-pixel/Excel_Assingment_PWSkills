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zakir\Downloads\"/>
    </mc:Choice>
  </mc:AlternateContent>
  <xr:revisionPtr revIDLastSave="0" documentId="8_{1B19ACAF-FF20-4EA6-B8B7-8510D7F92077}" xr6:coauthVersionLast="47" xr6:coauthVersionMax="47" xr10:uidLastSave="{00000000-0000-0000-0000-000000000000}"/>
  <bookViews>
    <workbookView xWindow="-120" yWindow="-120" windowWidth="20640" windowHeight="11040" activeTab="4" xr2:uid="{B9D73D5F-4B05-425F-9E7F-0D45F7C1685A}"/>
  </bookViews>
  <sheets>
    <sheet name="Q1-6" sheetId="1" r:id="rId1"/>
    <sheet name="Q7" sheetId="3" r:id="rId2"/>
    <sheet name="Q8" sheetId="2" r:id="rId3"/>
    <sheet name="Q9" sheetId="5" r:id="rId4"/>
    <sheet name="Q10 part 1" sheetId="7" r:id="rId5"/>
    <sheet name="Q10 Part 2" sheetId="9" r:id="rId6"/>
  </sheets>
  <definedNames>
    <definedName name="ExternalData_1" localSheetId="4" hidden="1">'Q10 part 1'!$A$11:$M$111</definedName>
    <definedName name="ExternalData_1" localSheetId="1" hidden="1">'Q7'!$B$6:$K$106</definedName>
    <definedName name="ExternalData_1" localSheetId="3" hidden="1">'Q9'!$A$5:$M$1004</definedName>
    <definedName name="Slicer_Date">#N/A</definedName>
    <definedName name="Slicer_Location">#N/A</definedName>
  </definedNames>
  <calcPr calcId="191029"/>
  <pivotCaches>
    <pivotCache cacheId="0" r:id="rId7"/>
    <pivotCache cacheId="13"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2" i="7" l="1"/>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E33" i="1"/>
  <c r="E34" i="1"/>
  <c r="E35" i="1"/>
  <c r="E36" i="1"/>
  <c r="E37" i="1"/>
  <c r="E38" i="1"/>
  <c r="E39" i="1"/>
  <c r="E32" i="1"/>
  <c r="D32" i="1"/>
  <c r="D33" i="1"/>
  <c r="D34" i="1"/>
  <c r="D35" i="1"/>
  <c r="D36" i="1"/>
  <c r="D37" i="1"/>
  <c r="D38" i="1"/>
  <c r="D3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827697-06C9-444F-868E-5E5E62B51D0F}" keepAlive="1" name="Query - Road_Accident_Dataset_100_Rows" description="Connection to the 'Road_Accident_Dataset_100_Rows' query in the workbook." type="5" refreshedVersion="8" background="1" saveData="1">
    <dbPr connection="Provider=Microsoft.Mashup.OleDb.1;Data Source=$Workbook$;Location=Road_Accident_Dataset_100_Rows;Extended Properties=&quot;&quot;" command="SELECT * FROM [Road_Accident_Dataset_100_Rows]"/>
  </connection>
  <connection id="2" xr16:uid="{3161FC95-0AA3-41DD-A09B-9A8EB954CBD0}" keepAlive="1" name="Query - Sales_department" description="Connection to the 'Sales_department' query in the workbook." type="5" refreshedVersion="8" background="1" saveData="1">
    <dbPr connection="Provider=Microsoft.Mashup.OleDb.1;Data Source=$Workbook$;Location=Sales_department;Extended Properties=&quot;&quot;" command="SELECT * FROM [Sales_department]"/>
  </connection>
  <connection id="3" xr16:uid="{703A8FAA-2976-48E4-BC47-060F5B468DCB}"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4" xr16:uid="{4C008986-2A24-4592-82FE-1970BCF30063}" keepAlive="1" name="Query - Sheet1 (2)" description="Connection to the 'Sheet1 (2)' query in the workbook." type="5" refreshedVersion="0" background="1" saveData="1">
    <dbPr connection="Provider=Microsoft.Mashup.OleDb.1;Data Source=$Workbook$;Location=&quot;Sheet1 (2)&quot;;Extended Properties=&quot;&quot;" command="SELECT * FROM [Sheet1 (2)]"/>
  </connection>
</connections>
</file>

<file path=xl/sharedStrings.xml><?xml version="1.0" encoding="utf-8"?>
<sst xmlns="http://schemas.openxmlformats.org/spreadsheetml/2006/main" count="1906" uniqueCount="480">
  <si>
    <t>EXCEL ASSIGNMENT</t>
  </si>
  <si>
    <t xml:space="preserve">Answer : </t>
  </si>
  <si>
    <t>Relative Changes when copied =A1+B1 Changes to A2+B2</t>
  </si>
  <si>
    <t>Absolute Does not change =$A$1+B1 A1 stays fixed</t>
  </si>
  <si>
    <t>Mixed Partially fixed =$A1 or A$1 Only row or column fixed</t>
  </si>
  <si>
    <t>Question 2 : What is a Macro in Excel? How does it help in automation?</t>
  </si>
  <si>
    <t>Question 1 : Explain the difference between Absolute, Relative, and Mixed Cell Referencing in Excel with examples</t>
  </si>
  <si>
    <t>Answer :</t>
  </si>
  <si>
    <t>A macro is a recorded set of steps used to automate tasks in Excel</t>
  </si>
  <si>
    <t>Use It saves time by repeating the same work automatically</t>
  </si>
  <si>
    <t>Example Formatting or cleaning data daily</t>
  </si>
  <si>
    <t>Question 3 : What are Text Functions in Excel? Mention any five with examples.</t>
  </si>
  <si>
    <t>LOWER =LOWER("JAHID") jahid</t>
  </si>
  <si>
    <t>PROPER =PROPER("jahid khan") Jahid Khan</t>
  </si>
  <si>
    <t>LEN =LEN("Excel") 5</t>
  </si>
  <si>
    <t>CONCAT =CONCAT("Jahid"," Khan") Jahid Khan</t>
  </si>
  <si>
    <t>Text functions are used to work with text (words or sentences) in Excel — like changing case, joining text, or counting characters.UPPER =UPPER("jahid") JAHID</t>
  </si>
  <si>
    <t>Question 4 : What is the use of Scenario Manager in decision making?</t>
  </si>
  <si>
    <t>Scenario Manager helps compare different sets of values to analyze outcomes and make better decisions.</t>
  </si>
  <si>
    <t>Question 5 : Define the purpose of VLOOKUP and HLOOKUP. How are they different from XLOOKUP? Which among XLOOKUP and INDEX-MATCH is best while usage?</t>
  </si>
  <si>
    <t>VLOOKUP and HLOOKUP are used to search data vertically and horizontally. XLOOKUP is more advanced</t>
  </si>
  <si>
    <t>as it works in any direction and is easier to use. Between XLOOKUP and INDEX-MATCH, XLOOKUP is generally</t>
  </si>
  <si>
    <t>better due to its simplicity, while INDEX-MATCH is useful for complex tasks.</t>
  </si>
  <si>
    <t>Question 6 : Create a dataset of 8 employees with joining dates. Use the dummy dataset to calculate their experience in years and months.</t>
  </si>
  <si>
    <t>Answers :</t>
  </si>
  <si>
    <t>Employee Name</t>
  </si>
  <si>
    <t>Joining Date</t>
  </si>
  <si>
    <t>Rahul</t>
  </si>
  <si>
    <t>Amit</t>
  </si>
  <si>
    <t>Neha</t>
  </si>
  <si>
    <t>Priya</t>
  </si>
  <si>
    <t>Rohit</t>
  </si>
  <si>
    <t>Anjali</t>
  </si>
  <si>
    <t>Vikas</t>
  </si>
  <si>
    <t>Sneha</t>
  </si>
  <si>
    <t>Experience (years)</t>
  </si>
  <si>
    <t>Experience (month)</t>
  </si>
  <si>
    <t>Accident ID</t>
  </si>
  <si>
    <t>Date</t>
  </si>
  <si>
    <t>Location</t>
  </si>
  <si>
    <t>Accident Type</t>
  </si>
  <si>
    <t>Vehicle Type</t>
  </si>
  <si>
    <t>Weather Condition</t>
  </si>
  <si>
    <t>Road Condition</t>
  </si>
  <si>
    <t>Severity</t>
  </si>
  <si>
    <t>Cause</t>
  </si>
  <si>
    <t>Casualties</t>
  </si>
  <si>
    <t>AID0001</t>
  </si>
  <si>
    <t>Hyderabad</t>
  </si>
  <si>
    <t>Overturn</t>
  </si>
  <si>
    <t>Auto-Rickshaw</t>
  </si>
  <si>
    <t>Clear</t>
  </si>
  <si>
    <t>Dry</t>
  </si>
  <si>
    <t>Moderate</t>
  </si>
  <si>
    <t>Overtaking</t>
  </si>
  <si>
    <t>AID0002</t>
  </si>
  <si>
    <t>Mumbai</t>
  </si>
  <si>
    <t>Foggy</t>
  </si>
  <si>
    <t>Damaged</t>
  </si>
  <si>
    <t>Distracted Driving</t>
  </si>
  <si>
    <t>AID0003</t>
  </si>
  <si>
    <t>Bicycle</t>
  </si>
  <si>
    <t>Windy</t>
  </si>
  <si>
    <t>Under Construction</t>
  </si>
  <si>
    <t>Fatal</t>
  </si>
  <si>
    <t>AID0004</t>
  </si>
  <si>
    <t>Pune</t>
  </si>
  <si>
    <t>Collision</t>
  </si>
  <si>
    <t>Truck</t>
  </si>
  <si>
    <t>Brake Failure</t>
  </si>
  <si>
    <t>AID0005</t>
  </si>
  <si>
    <t>Bangalore</t>
  </si>
  <si>
    <t>Animal Hit</t>
  </si>
  <si>
    <t>Weather</t>
  </si>
  <si>
    <t>AID0006</t>
  </si>
  <si>
    <t>Car</t>
  </si>
  <si>
    <t>Rainy</t>
  </si>
  <si>
    <t>Minor</t>
  </si>
  <si>
    <t>Drunk Driving</t>
  </si>
  <si>
    <t>AID0007</t>
  </si>
  <si>
    <t>Delhi</t>
  </si>
  <si>
    <t>Speeding</t>
  </si>
  <si>
    <t>AID0008</t>
  </si>
  <si>
    <t>Wet</t>
  </si>
  <si>
    <t>AID0009</t>
  </si>
  <si>
    <t>AID0010</t>
  </si>
  <si>
    <t>Ahmedabad</t>
  </si>
  <si>
    <t>Motorcycle</t>
  </si>
  <si>
    <t>Severe</t>
  </si>
  <si>
    <t>AID0011</t>
  </si>
  <si>
    <t>Object Hit</t>
  </si>
  <si>
    <t>AID0012</t>
  </si>
  <si>
    <t>Pedestrian Hit</t>
  </si>
  <si>
    <t>AID0013</t>
  </si>
  <si>
    <t>AID0014</t>
  </si>
  <si>
    <t>Chennai</t>
  </si>
  <si>
    <t>Bus</t>
  </si>
  <si>
    <t>AID0015</t>
  </si>
  <si>
    <t>AID0016</t>
  </si>
  <si>
    <t>AID0017</t>
  </si>
  <si>
    <t>AID0018</t>
  </si>
  <si>
    <t>Kolkata</t>
  </si>
  <si>
    <t>AID0019</t>
  </si>
  <si>
    <t>AID0020</t>
  </si>
  <si>
    <t>AID0021</t>
  </si>
  <si>
    <t>AID0022</t>
  </si>
  <si>
    <t>AID0023</t>
  </si>
  <si>
    <t>AID0024</t>
  </si>
  <si>
    <t>AID0025</t>
  </si>
  <si>
    <t>AID0026</t>
  </si>
  <si>
    <t>AID0027</t>
  </si>
  <si>
    <t>AID0028</t>
  </si>
  <si>
    <t>AID0029</t>
  </si>
  <si>
    <t>AID0030</t>
  </si>
  <si>
    <t>AID0031</t>
  </si>
  <si>
    <t>AID0032</t>
  </si>
  <si>
    <t>AID0033</t>
  </si>
  <si>
    <t>AID0034</t>
  </si>
  <si>
    <t>AID0035</t>
  </si>
  <si>
    <t>AID0036</t>
  </si>
  <si>
    <t>AID0037</t>
  </si>
  <si>
    <t>AID0038</t>
  </si>
  <si>
    <t>AID0039</t>
  </si>
  <si>
    <t>AID0040</t>
  </si>
  <si>
    <t>AID0041</t>
  </si>
  <si>
    <t>AID0042</t>
  </si>
  <si>
    <t>AID0043</t>
  </si>
  <si>
    <t>AID0044</t>
  </si>
  <si>
    <t>AID0045</t>
  </si>
  <si>
    <t>AID0046</t>
  </si>
  <si>
    <t>AID0047</t>
  </si>
  <si>
    <t>AID0048</t>
  </si>
  <si>
    <t>AID0049</t>
  </si>
  <si>
    <t>AID0050</t>
  </si>
  <si>
    <t>AID0051</t>
  </si>
  <si>
    <t>AID0052</t>
  </si>
  <si>
    <t>AID0053</t>
  </si>
  <si>
    <t>AID0054</t>
  </si>
  <si>
    <t>AID0055</t>
  </si>
  <si>
    <t>AID0056</t>
  </si>
  <si>
    <t>AID0057</t>
  </si>
  <si>
    <t>AID0058</t>
  </si>
  <si>
    <t>AID0059</t>
  </si>
  <si>
    <t>AID0060</t>
  </si>
  <si>
    <t>AID0061</t>
  </si>
  <si>
    <t>AID0062</t>
  </si>
  <si>
    <t>AID0063</t>
  </si>
  <si>
    <t>AID0064</t>
  </si>
  <si>
    <t>AID0065</t>
  </si>
  <si>
    <t>AID0066</t>
  </si>
  <si>
    <t>AID0067</t>
  </si>
  <si>
    <t>AID0068</t>
  </si>
  <si>
    <t>AID0069</t>
  </si>
  <si>
    <t>AID0070</t>
  </si>
  <si>
    <t>AID0071</t>
  </si>
  <si>
    <t>AID0072</t>
  </si>
  <si>
    <t>AID0073</t>
  </si>
  <si>
    <t>AID0074</t>
  </si>
  <si>
    <t>AID0075</t>
  </si>
  <si>
    <t>AID0076</t>
  </si>
  <si>
    <t>AID0077</t>
  </si>
  <si>
    <t>AID0078</t>
  </si>
  <si>
    <t>AID0079</t>
  </si>
  <si>
    <t>AID0080</t>
  </si>
  <si>
    <t>AID0081</t>
  </si>
  <si>
    <t>AID0082</t>
  </si>
  <si>
    <t>AID0083</t>
  </si>
  <si>
    <t>AID0084</t>
  </si>
  <si>
    <t>AID0085</t>
  </si>
  <si>
    <t>AID0086</t>
  </si>
  <si>
    <t>AID0087</t>
  </si>
  <si>
    <t>AID0088</t>
  </si>
  <si>
    <t>AID0089</t>
  </si>
  <si>
    <t>AID0090</t>
  </si>
  <si>
    <t>AID0091</t>
  </si>
  <si>
    <t>AID0092</t>
  </si>
  <si>
    <t>AID0093</t>
  </si>
  <si>
    <t>AID0094</t>
  </si>
  <si>
    <t>AID0095</t>
  </si>
  <si>
    <t>AID0096</t>
  </si>
  <si>
    <t>AID0097</t>
  </si>
  <si>
    <t>AID0098</t>
  </si>
  <si>
    <t>AID0099</t>
  </si>
  <si>
    <t>AID0100</t>
  </si>
  <si>
    <t>Question 7 : You are provided with a dataset containing details of 100 road accidents.Design a Road Accident Analysis Dashboard using Pivot Tables and Slicers in Excel.</t>
  </si>
  <si>
    <t>Grand Total</t>
  </si>
  <si>
    <t>Total Casualties</t>
  </si>
  <si>
    <t>Total Accident</t>
  </si>
  <si>
    <t>Accidents by Severity</t>
  </si>
  <si>
    <t>Pivot Table</t>
  </si>
  <si>
    <t>Total Severity</t>
  </si>
  <si>
    <t>Accidents by Vechicle</t>
  </si>
  <si>
    <t>Accidents by Road Condition And Reason</t>
  </si>
  <si>
    <t>Question 8 : Create a table of 10 products with stock levels. Use Macros to highlight:</t>
  </si>
  <si>
    <t>Low stock (less than 10 units) in red</t>
  </si>
  <si>
    <t>Overstock (more than 50 units) in green.</t>
  </si>
  <si>
    <t>Product</t>
  </si>
  <si>
    <t>Stock</t>
  </si>
  <si>
    <t>P1</t>
  </si>
  <si>
    <t>P2</t>
  </si>
  <si>
    <t>P3</t>
  </si>
  <si>
    <t>P4</t>
  </si>
  <si>
    <t>P5</t>
  </si>
  <si>
    <t>P6</t>
  </si>
  <si>
    <t>P7</t>
  </si>
  <si>
    <t>P8</t>
  </si>
  <si>
    <t>P9</t>
  </si>
  <si>
    <t>P10</t>
  </si>
  <si>
    <t>Question 9 : You are given a dataset : Create a drop-down list of product names in a separate cell using Data Validation,</t>
  </si>
  <si>
    <t>and write a formula in the adjacent cell so that when a product is selected from the drop-down, its corresponding price is automatically displayed.</t>
  </si>
  <si>
    <t>Order ID</t>
  </si>
  <si>
    <t>Customer Name</t>
  </si>
  <si>
    <t>Region</t>
  </si>
  <si>
    <t>Product Category</t>
  </si>
  <si>
    <t>Product Name</t>
  </si>
  <si>
    <t>Quantity</t>
  </si>
  <si>
    <t>Unit Price (?)</t>
  </si>
  <si>
    <t>Total Sales (?)</t>
  </si>
  <si>
    <t>Profit Margin (%)</t>
  </si>
  <si>
    <t>Customer Age</t>
  </si>
  <si>
    <t>Payment Mode</t>
  </si>
  <si>
    <t>Rahul Sharma</t>
  </si>
  <si>
    <t>North India</t>
  </si>
  <si>
    <t>Electronics</t>
  </si>
  <si>
    <t>Smartwatch</t>
  </si>
  <si>
    <t>Credit Card</t>
  </si>
  <si>
    <t>Amit Verma</t>
  </si>
  <si>
    <t>West India</t>
  </si>
  <si>
    <t>Home Decor</t>
  </si>
  <si>
    <t>Wall Clock</t>
  </si>
  <si>
    <t>COD</t>
  </si>
  <si>
    <t>Sneha Kapoor</t>
  </si>
  <si>
    <t>East India</t>
  </si>
  <si>
    <t>Bluetooth Speaker</t>
  </si>
  <si>
    <t>NetBanking</t>
  </si>
  <si>
    <t>Rajesh Kumar</t>
  </si>
  <si>
    <t>Fashion</t>
  </si>
  <si>
    <t>Jeans</t>
  </si>
  <si>
    <t>Priya Singh</t>
  </si>
  <si>
    <t>South India</t>
  </si>
  <si>
    <t>Laptop</t>
  </si>
  <si>
    <t>UPI</t>
  </si>
  <si>
    <t>Karan Malhotra</t>
  </si>
  <si>
    <t>Sofa Set</t>
  </si>
  <si>
    <t>Neha Gupta</t>
  </si>
  <si>
    <t>Dress</t>
  </si>
  <si>
    <t>Vikram Patel</t>
  </si>
  <si>
    <t>Smartphone</t>
  </si>
  <si>
    <t>Ayesha Kapoor</t>
  </si>
  <si>
    <t>Dining Table Set</t>
  </si>
  <si>
    <t>Amitabh Verma</t>
  </si>
  <si>
    <t>Leather Jacket</t>
  </si>
  <si>
    <t>Sneha Gupta</t>
  </si>
  <si>
    <t>Headphones</t>
  </si>
  <si>
    <t>Nikhil Kumar</t>
  </si>
  <si>
    <t>Floor Lamp</t>
  </si>
  <si>
    <t>Meera Sharma</t>
  </si>
  <si>
    <t>Sneakers</t>
  </si>
  <si>
    <t>Aditya Verma</t>
  </si>
  <si>
    <t>Gaming Console</t>
  </si>
  <si>
    <t>Rohan Malhotra</t>
  </si>
  <si>
    <t>Drone Camera</t>
  </si>
  <si>
    <t>Neha Kapoor</t>
  </si>
  <si>
    <t>TV</t>
  </si>
  <si>
    <t>Kunal Singh</t>
  </si>
  <si>
    <t>Smart Glasses</t>
  </si>
  <si>
    <t>Alisha Roy</t>
  </si>
  <si>
    <t>Recliner Sofa</t>
  </si>
  <si>
    <t>Tarun Mishra</t>
  </si>
  <si>
    <t>Washing Machine</t>
  </si>
  <si>
    <t>Pooja Nair</t>
  </si>
  <si>
    <t>Earbuds</t>
  </si>
  <si>
    <t>Manish Tiwari</t>
  </si>
  <si>
    <t>Formal Shirt</t>
  </si>
  <si>
    <t>Shreya Desai</t>
  </si>
  <si>
    <t>Coffee Table</t>
  </si>
  <si>
    <t>Kabir Joshi</t>
  </si>
  <si>
    <t>Air Conditioner</t>
  </si>
  <si>
    <t>Anita Yadav</t>
  </si>
  <si>
    <t>Running Shoes</t>
  </si>
  <si>
    <t>Vivek Chopra</t>
  </si>
  <si>
    <t>Tablet</t>
  </si>
  <si>
    <t>Simran Kaur</t>
  </si>
  <si>
    <t>Neckband</t>
  </si>
  <si>
    <t>Nitin Bansal</t>
  </si>
  <si>
    <t>Bookshelf</t>
  </si>
  <si>
    <t>Rekha Reddy</t>
  </si>
  <si>
    <t>Microwave</t>
  </si>
  <si>
    <t>Gautam Saxena</t>
  </si>
  <si>
    <t>Backpack</t>
  </si>
  <si>
    <t>Preeti Rawat</t>
  </si>
  <si>
    <t>Gaming Mouse</t>
  </si>
  <si>
    <t>Ashok Sharma</t>
  </si>
  <si>
    <t>Leather Wallet</t>
  </si>
  <si>
    <t>Divya Nair</t>
  </si>
  <si>
    <t>Ceiling Fan</t>
  </si>
  <si>
    <t>Kiran Kapoor</t>
  </si>
  <si>
    <t>Sports Watch</t>
  </si>
  <si>
    <t>Yash Malhotra</t>
  </si>
  <si>
    <t>Router</t>
  </si>
  <si>
    <t>Anurag Verma</t>
  </si>
  <si>
    <t>Smart Bulb</t>
  </si>
  <si>
    <t>Ritika Shah</t>
  </si>
  <si>
    <t>Office Chair</t>
  </si>
  <si>
    <t>Tanmay Goel</t>
  </si>
  <si>
    <t>Blender</t>
  </si>
  <si>
    <t>Varun Singh</t>
  </si>
  <si>
    <t>Perfume</t>
  </si>
  <si>
    <t>Payal Mehta</t>
  </si>
  <si>
    <t>Power Bank</t>
  </si>
  <si>
    <t>Snehal Desai</t>
  </si>
  <si>
    <t>LED Bulb</t>
  </si>
  <si>
    <t>Ajay Patel</t>
  </si>
  <si>
    <t>Gym Gloves</t>
  </si>
  <si>
    <t>Kritika Gupta</t>
  </si>
  <si>
    <t>Wall Art</t>
  </si>
  <si>
    <t>Dinesh Nair</t>
  </si>
  <si>
    <t>Printer</t>
  </si>
  <si>
    <t>Priyanka Rao</t>
  </si>
  <si>
    <t>Sunglasses</t>
  </si>
  <si>
    <t>Harsh Malhotra</t>
  </si>
  <si>
    <t>Speaker</t>
  </si>
  <si>
    <t>Lavanya Kapoor</t>
  </si>
  <si>
    <t>Trolley Bag</t>
  </si>
  <si>
    <t>Aniket Shah</t>
  </si>
  <si>
    <t>Curtains</t>
  </si>
  <si>
    <t>Niharika Joshi</t>
  </si>
  <si>
    <t>Induction Stove</t>
  </si>
  <si>
    <t>Ravi Sharma</t>
  </si>
  <si>
    <t>Travel Pillow</t>
  </si>
  <si>
    <t>DropDown</t>
  </si>
  <si>
    <t>Customer ID</t>
  </si>
  <si>
    <t>Country</t>
  </si>
  <si>
    <t>State</t>
  </si>
  <si>
    <t>Phone Number</t>
  </si>
  <si>
    <t>Category</t>
  </si>
  <si>
    <t>Price</t>
  </si>
  <si>
    <t>Units Sold</t>
  </si>
  <si>
    <t>Profit</t>
  </si>
  <si>
    <t>Mode of Payment</t>
  </si>
  <si>
    <t>Revenue</t>
  </si>
  <si>
    <t>Profit %</t>
  </si>
  <si>
    <t>CUST1000</t>
  </si>
  <si>
    <t>West</t>
  </si>
  <si>
    <t>India</t>
  </si>
  <si>
    <t>Karnataka</t>
  </si>
  <si>
    <t>Clothing</t>
  </si>
  <si>
    <t>Shirt</t>
  </si>
  <si>
    <t>CUST1001</t>
  </si>
  <si>
    <t>Furniture</t>
  </si>
  <si>
    <t>Table</t>
  </si>
  <si>
    <t>Net Banking</t>
  </si>
  <si>
    <t>CUST1002</t>
  </si>
  <si>
    <t>South</t>
  </si>
  <si>
    <t>West Bengal</t>
  </si>
  <si>
    <t>T-shirt</t>
  </si>
  <si>
    <t>CUST1003</t>
  </si>
  <si>
    <t>Sofa</t>
  </si>
  <si>
    <t>Cash</t>
  </si>
  <si>
    <t>CUST1004</t>
  </si>
  <si>
    <t>CUST1005</t>
  </si>
  <si>
    <t>CUST1006</t>
  </si>
  <si>
    <t>East</t>
  </si>
  <si>
    <t>Tamil Nadu</t>
  </si>
  <si>
    <t>CUST1007</t>
  </si>
  <si>
    <t>Chair</t>
  </si>
  <si>
    <t>CUST1008</t>
  </si>
  <si>
    <t>Maharashtra</t>
  </si>
  <si>
    <t>CUST1009</t>
  </si>
  <si>
    <t>Gujarat</t>
  </si>
  <si>
    <t>CUST1010</t>
  </si>
  <si>
    <t>Rajasthan</t>
  </si>
  <si>
    <t>CUST1011</t>
  </si>
  <si>
    <t>CUST1012</t>
  </si>
  <si>
    <t>North</t>
  </si>
  <si>
    <t>CUST1013</t>
  </si>
  <si>
    <t>CUST1014</t>
  </si>
  <si>
    <t>CUST1015</t>
  </si>
  <si>
    <t>Monitor</t>
  </si>
  <si>
    <t>CUST1016</t>
  </si>
  <si>
    <t>Jacket</t>
  </si>
  <si>
    <t>Debit Card</t>
  </si>
  <si>
    <t>CUST1017</t>
  </si>
  <si>
    <t>Uttar Pradesh</t>
  </si>
  <si>
    <t>CUST1018</t>
  </si>
  <si>
    <t>CUST1019</t>
  </si>
  <si>
    <t>CUST1020</t>
  </si>
  <si>
    <t>CUST1021</t>
  </si>
  <si>
    <t>CUST1022</t>
  </si>
  <si>
    <t>CUST1023</t>
  </si>
  <si>
    <t>CUST1024</t>
  </si>
  <si>
    <t>CUST1025</t>
  </si>
  <si>
    <t>CUST1026</t>
  </si>
  <si>
    <t>CUST1027</t>
  </si>
  <si>
    <t>CUST1028</t>
  </si>
  <si>
    <t>CUST1029</t>
  </si>
  <si>
    <t>Cupboard</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</si>
  <si>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</si>
  <si>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</si>
  <si>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</si>
  <si>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</si>
  <si>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</si>
  <si>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</si>
  <si>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</si>
  <si>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</si>
  <si>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</si>
  <si>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</si>
  <si>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</si>
  <si>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</si>
  <si>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</si>
  <si>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</si>
  <si>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</si>
  <si>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</si>
  <si>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</si>
  <si>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</si>
  <si>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</si>
  <si>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</si>
  <si>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</si>
  <si>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</si>
  <si>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</si>
  <si>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</si>
  <si>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</si>
  <si>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</si>
  <si>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</si>
  <si>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</si>
  <si>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</si>
  <si>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</si>
  <si>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</si>
  <si>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</si>
  <si>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</si>
  <si>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</si>
  <si>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</si>
  <si>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</si>
  <si>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</si>
  <si>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</si>
  <si>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</si>
  <si>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</si>
  <si>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</si>
  <si>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</si>
  <si>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</si>
  <si>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</si>
  <si>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</si>
  <si>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</si>
  <si>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</si>
  <si>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</si>
  <si>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</si>
  <si>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</si>
  <si>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</si>
  <si>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</si>
  <si>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</si>
  <si>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</si>
  <si>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</si>
  <si>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</si>
  <si>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</si>
  <si>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</si>
  <si>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</si>
  <si>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</si>
  <si>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</si>
  <si>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</si>
  <si>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</si>
  <si>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</si>
  <si>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</si>
  <si>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</si>
  <si>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</si>
  <si>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</si>
  <si>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</si>
  <si>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</si>
  <si>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Label</t>
  </si>
  <si>
    <t>Total Revenue</t>
  </si>
  <si>
    <t>Question 10 : Case Scenario :-</t>
  </si>
  <si>
    <t>Task : 1. Apply data validation in the Units Sold column to ensure only values between 1 and 20 are allowed.</t>
  </si>
  <si>
    <t>2. Highlight rows where Profit &gt; ₹5000</t>
  </si>
  <si>
    <t>3. Highlight any phone number that is not exactly 10 digits</t>
  </si>
  <si>
    <t>4. Find the Revenue generated by each product and also label according to revenue generated as “High”, “Medium”, “Low”.</t>
  </si>
  <si>
    <t>5. Find the profit percentage up to two decimal places.</t>
  </si>
  <si>
    <t>REGION BY DATA</t>
  </si>
  <si>
    <t>Total Profit %</t>
  </si>
  <si>
    <t>Average Units Sold</t>
  </si>
  <si>
    <t>6. Show Total Revenue and Total Profit by Region.</t>
  </si>
  <si>
    <t>7. Show Average Units Sold per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</si>
</sst>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5"/>
      <color theme="3"/>
      <name val="Calibri"/>
      <family val="2"/>
      <scheme val="minor"/>
    </font>
    <font>
      <sz val="8"/>
      <color theme="1"/>
      <name val="Calibri"/>
      <family val="2"/>
      <scheme val="minor"/>
    </font>
    <font>
      <sz val="36"/>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rgb="FF00FF00"/>
        <bgColor indexed="64"/>
      </patternFill>
    </fill>
  </fills>
  <borders count="3">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1" applyNumberFormat="0" applyFill="0" applyAlignment="0" applyProtection="0"/>
  </cellStyleXfs>
  <cellXfs count="24">
    <xf numFmtId="0" fontId="0" fillId="0" borderId="0" xfId="0"/>
    <xf numFmtId="0" fontId="3" fillId="0" borderId="0" xfId="0" applyFont="1"/>
    <xf numFmtId="0" fontId="1" fillId="0" borderId="1" xfId="1" applyAlignment="1">
      <alignment horizontal="center"/>
    </xf>
    <xf numFmtId="0" fontId="5" fillId="0" borderId="0" xfId="0" applyFont="1" applyAlignment="1">
      <alignment horizontal="left" vertical="center" wrapText="1"/>
    </xf>
    <xf numFmtId="0" fontId="5" fillId="0" borderId="0" xfId="0" applyFont="1"/>
    <xf numFmtId="0" fontId="5" fillId="0" borderId="0" xfId="0" applyFont="1" applyAlignment="1">
      <alignment wrapText="1"/>
    </xf>
    <xf numFmtId="0" fontId="6" fillId="0" borderId="0" xfId="0" applyFont="1"/>
    <xf numFmtId="0" fontId="4" fillId="0" borderId="0" xfId="0" applyFont="1"/>
    <xf numFmtId="0" fontId="4" fillId="0" borderId="2" xfId="0" applyFont="1" applyBorder="1"/>
    <xf numFmtId="14" fontId="4" fillId="0" borderId="2" xfId="0" applyNumberFormat="1" applyFont="1" applyBorder="1"/>
    <xf numFmtId="0" fontId="0" fillId="0" borderId="2" xfId="0" applyBorder="1"/>
    <xf numFmtId="0" fontId="4" fillId="2" borderId="2" xfId="0" applyFont="1" applyFill="1" applyBorder="1"/>
    <xf numFmtId="0" fontId="2" fillId="0" borderId="0" xfId="0" applyFont="1"/>
    <xf numFmtId="14" fontId="2" fillId="0" borderId="0" xfId="0" applyNumberFormat="1" applyFont="1"/>
    <xf numFmtId="0" fontId="0" fillId="0" borderId="0" xfId="0" pivotButton="1"/>
    <xf numFmtId="0" fontId="0" fillId="0" borderId="0" xfId="0" applyAlignment="1">
      <alignment horizontal="left"/>
    </xf>
    <xf numFmtId="0" fontId="0" fillId="2" borderId="2" xfId="0" applyFill="1" applyBorder="1"/>
    <xf numFmtId="0" fontId="0" fillId="3" borderId="2" xfId="0" applyFill="1" applyBorder="1"/>
    <xf numFmtId="0" fontId="0" fillId="0" borderId="2" xfId="0" applyFill="1" applyBorder="1"/>
    <xf numFmtId="0" fontId="0" fillId="4" borderId="2" xfId="0" applyFill="1" applyBorder="1"/>
    <xf numFmtId="14" fontId="0" fillId="0" borderId="0" xfId="0" applyNumberFormat="1"/>
    <xf numFmtId="0" fontId="0" fillId="0" borderId="0" xfId="0" applyNumberFormat="1"/>
    <xf numFmtId="0" fontId="0" fillId="2" borderId="0" xfId="0" applyFill="1"/>
    <xf numFmtId="2" fontId="0" fillId="0" borderId="0" xfId="0" applyNumberFormat="1"/>
  </cellXfs>
  <cellStyles count="2">
    <cellStyle name="Heading 1" xfId="1" builtinId="16"/>
    <cellStyle name="Normal" xfId="0" builtinId="0"/>
  </cellStyles>
  <dxfs count="35">
    <dxf>
      <fill>
        <gradientFill degree="135">
          <stop position="0">
            <color theme="0"/>
          </stop>
          <stop position="0.5">
            <color theme="4"/>
          </stop>
          <stop position="1">
            <color theme="0"/>
          </stop>
        </gradientFill>
      </fill>
    </dxf>
    <dxf>
      <fill>
        <patternFill>
          <bgColor rgb="FFFFFF00"/>
        </patternFill>
      </fill>
    </dxf>
    <dxf>
      <fill>
        <patternFill patternType="solid">
          <fgColor auto="1"/>
          <bgColor rgb="FFFFCC66"/>
        </patternFill>
      </fill>
    </dxf>
    <dxf>
      <fill>
        <gradientFill degree="135">
          <stop position="0">
            <color theme="0"/>
          </stop>
          <stop position="0.5">
            <color theme="4"/>
          </stop>
          <stop position="1">
            <color theme="0"/>
          </stop>
        </gradientFill>
      </fill>
    </dxf>
    <dxf>
      <font>
        <color rgb="FF9C0006"/>
      </font>
      <fill>
        <patternFill>
          <bgColor rgb="FFFFC7CE"/>
        </patternFill>
      </fill>
    </dxf>
    <dxf>
      <font>
        <color rgb="FF006100"/>
      </font>
      <fill>
        <patternFill>
          <bgColor rgb="FFC6EFCE"/>
        </patternFill>
      </fill>
    </dxf>
    <dxf>
      <numFmt numFmtId="2" formatCode="0.00"/>
    </dxf>
    <dxf>
      <numFmt numFmtId="0" formatCode="General"/>
    </dxf>
    <dxf>
      <fill>
        <patternFill patternType="solid">
          <fgColor indexed="64"/>
          <bgColor rgb="FFFFFF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numFmt numFmtId="19" formatCode="dd/mm/yyyy"/>
    </dxf>
    <dxf>
      <font>
        <strike val="0"/>
        <outline val="0"/>
        <shadow val="0"/>
        <u val="none"/>
        <vertAlign val="baseline"/>
        <sz val="8"/>
        <color theme="1"/>
        <name val="Calibri"/>
        <family val="2"/>
        <scheme val="minor"/>
      </font>
      <numFmt numFmtId="0" formatCode="General"/>
    </dxf>
    <dxf>
      <font>
        <strike val="0"/>
        <outline val="0"/>
        <shadow val="0"/>
        <u val="none"/>
        <vertAlign val="baseline"/>
        <sz val="8"/>
        <color theme="1"/>
        <name val="Calibri"/>
        <family val="2"/>
        <scheme val="minor"/>
      </font>
    </dxf>
    <dxf>
      <font>
        <strike val="0"/>
        <outline val="0"/>
        <shadow val="0"/>
        <u val="none"/>
        <vertAlign val="baseline"/>
        <sz val="8"/>
        <color theme="1"/>
        <name val="Calibri"/>
        <family val="2"/>
        <scheme val="minor"/>
      </font>
    </dxf>
  </dxfs>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15</xdr:col>
      <xdr:colOff>466725</xdr:colOff>
      <xdr:row>3</xdr:row>
      <xdr:rowOff>1</xdr:rowOff>
    </xdr:from>
    <xdr:to>
      <xdr:col>18</xdr:col>
      <xdr:colOff>114300</xdr:colOff>
      <xdr:row>9</xdr:row>
      <xdr:rowOff>19050</xdr:rowOff>
    </xdr:to>
    <mc:AlternateContent xmlns:mc="http://schemas.openxmlformats.org/markup-compatibility/2006" xmlns:sle15="http://schemas.microsoft.com/office/drawing/2012/slicer">
      <mc:Choice Requires="sle15">
        <xdr:graphicFrame macro="">
          <xdr:nvGraphicFramePr>
            <xdr:cNvPr id="2" name="Date">
              <a:extLst>
                <a:ext uri="{FF2B5EF4-FFF2-40B4-BE49-F238E27FC236}">
                  <a16:creationId xmlns:a16="http://schemas.microsoft.com/office/drawing/2014/main" id="{45351BD1-5873-A189-6A37-2C3A2DBB5116}"/>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6268700" y="657226"/>
              <a:ext cx="2819400" cy="11810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466724</xdr:colOff>
      <xdr:row>9</xdr:row>
      <xdr:rowOff>133351</xdr:rowOff>
    </xdr:from>
    <xdr:to>
      <xdr:col>18</xdr:col>
      <xdr:colOff>123824</xdr:colOff>
      <xdr:row>14</xdr:row>
      <xdr:rowOff>57151</xdr:rowOff>
    </xdr:to>
    <mc:AlternateContent xmlns:mc="http://schemas.openxmlformats.org/markup-compatibility/2006" xmlns:sle15="http://schemas.microsoft.com/office/drawing/2012/slicer">
      <mc:Choice Requires="sle15">
        <xdr:graphicFrame macro="">
          <xdr:nvGraphicFramePr>
            <xdr:cNvPr id="3" name="Location">
              <a:extLst>
                <a:ext uri="{FF2B5EF4-FFF2-40B4-BE49-F238E27FC236}">
                  <a16:creationId xmlns:a16="http://schemas.microsoft.com/office/drawing/2014/main" id="{F44A364B-ED6F-68A6-CDC0-7D4A04075948}"/>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6268699" y="1952626"/>
              <a:ext cx="2828925" cy="876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ir" refreshedDate="46143.783857638889" createdVersion="8" refreshedVersion="8" minRefreshableVersion="3" recordCount="100" xr:uid="{AE0FD940-EF2B-4CF5-AE4F-5BE8EE712E82}">
  <cacheSource type="worksheet">
    <worksheetSource name="Road_Accident_Dataset_100_Rows"/>
  </cacheSource>
  <cacheFields count="10">
    <cacheField name="Accident ID" numFmtId="0">
      <sharedItems count="100">
        <s v="AID0001"/>
        <s v="AID0002"/>
        <s v="AID0003"/>
        <s v="AID0004"/>
        <s v="AID0005"/>
        <s v="AID0006"/>
        <s v="AID0007"/>
        <s v="AID0008"/>
        <s v="AID0009"/>
        <s v="AID0010"/>
        <s v="AID0011"/>
        <s v="AID0012"/>
        <s v="AID0013"/>
        <s v="AID0014"/>
        <s v="AID0015"/>
        <s v="AID0016"/>
        <s v="AID0017"/>
        <s v="AID0018"/>
        <s v="AID0019"/>
        <s v="AID0020"/>
        <s v="AID0021"/>
        <s v="AID0022"/>
        <s v="AID0023"/>
        <s v="AID0024"/>
        <s v="AID0025"/>
        <s v="AID0026"/>
        <s v="AID0027"/>
        <s v="AID0028"/>
        <s v="AID0029"/>
        <s v="AID0030"/>
        <s v="AID0031"/>
        <s v="AID0032"/>
        <s v="AID0033"/>
        <s v="AID0034"/>
        <s v="AID0035"/>
        <s v="AID0036"/>
        <s v="AID0037"/>
        <s v="AID0038"/>
        <s v="AID0039"/>
        <s v="AID0040"/>
        <s v="AID0041"/>
        <s v="AID0042"/>
        <s v="AID0043"/>
        <s v="AID0044"/>
        <s v="AID0045"/>
        <s v="AID0046"/>
        <s v="AID0047"/>
        <s v="AID0048"/>
        <s v="AID0049"/>
        <s v="AID0050"/>
        <s v="AID0051"/>
        <s v="AID0052"/>
        <s v="AID0053"/>
        <s v="AID0054"/>
        <s v="AID0055"/>
        <s v="AID0056"/>
        <s v="AID0057"/>
        <s v="AID0058"/>
        <s v="AID0059"/>
        <s v="AID0060"/>
        <s v="AID0061"/>
        <s v="AID0062"/>
        <s v="AID0063"/>
        <s v="AID0064"/>
        <s v="AID0065"/>
        <s v="AID0066"/>
        <s v="AID0067"/>
        <s v="AID0068"/>
        <s v="AID0069"/>
        <s v="AID0070"/>
        <s v="AID0071"/>
        <s v="AID0072"/>
        <s v="AID0073"/>
        <s v="AID0074"/>
        <s v="AID0075"/>
        <s v="AID0076"/>
        <s v="AID0077"/>
        <s v="AID0078"/>
        <s v="AID0079"/>
        <s v="AID0080"/>
        <s v="AID0081"/>
        <s v="AID0082"/>
        <s v="AID0083"/>
        <s v="AID0084"/>
        <s v="AID0085"/>
        <s v="AID0086"/>
        <s v="AID0087"/>
        <s v="AID0088"/>
        <s v="AID0089"/>
        <s v="AID0090"/>
        <s v="AID0091"/>
        <s v="AID0092"/>
        <s v="AID0093"/>
        <s v="AID0094"/>
        <s v="AID0095"/>
        <s v="AID0096"/>
        <s v="AID0097"/>
        <s v="AID0098"/>
        <s v="AID0099"/>
        <s v="AID0100"/>
      </sharedItems>
    </cacheField>
    <cacheField name="Date" numFmtId="14">
      <sharedItems containsSemiMixedTypes="0" containsNonDate="0" containsDate="1" containsString="0" minDate="2024-01-01T00:00:00" maxDate="2024-06-27T00:00:00"/>
    </cacheField>
    <cacheField name="Location" numFmtId="0">
      <sharedItems count="8">
        <s v="Hyderabad"/>
        <s v="Mumbai"/>
        <s v="Pune"/>
        <s v="Bangalore"/>
        <s v="Delhi"/>
        <s v="Ahmedabad"/>
        <s v="Chennai"/>
        <s v="Kolkata"/>
      </sharedItems>
    </cacheField>
    <cacheField name="Accident Type" numFmtId="0">
      <sharedItems/>
    </cacheField>
    <cacheField name="Vehicle Type" numFmtId="0">
      <sharedItems count="6">
        <s v="Auto-Rickshaw"/>
        <s v="Bicycle"/>
        <s v="Truck"/>
        <s v="Car"/>
        <s v="Motorcycle"/>
        <s v="Bus"/>
      </sharedItems>
    </cacheField>
    <cacheField name="Weather Condition" numFmtId="0">
      <sharedItems count="4">
        <s v="Clear"/>
        <s v="Foggy"/>
        <s v="Windy"/>
        <s v="Rainy"/>
      </sharedItems>
    </cacheField>
    <cacheField name="Road Condition" numFmtId="0">
      <sharedItems count="4">
        <s v="Dry"/>
        <s v="Damaged"/>
        <s v="Under Construction"/>
        <s v="Wet"/>
      </sharedItems>
    </cacheField>
    <cacheField name="Severity" numFmtId="0">
      <sharedItems count="4">
        <s v="Moderate"/>
        <s v="Fatal"/>
        <s v="Minor"/>
        <s v="Severe"/>
      </sharedItems>
    </cacheField>
    <cacheField name="Cause" numFmtId="0">
      <sharedItems count="6">
        <s v="Overtaking"/>
        <s v="Distracted Driving"/>
        <s v="Brake Failure"/>
        <s v="Weather"/>
        <s v="Drunk Driving"/>
        <s v="Speeding"/>
      </sharedItems>
    </cacheField>
    <cacheField name="Casualties" numFmtId="0">
      <sharedItems containsSemiMixedTypes="0" containsString="0" containsNumber="1" containsInteger="1" minValue="0"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kir" refreshedDate="46143.954493518519" createdVersion="8" refreshedVersion="8" minRefreshableVersion="3" recordCount="100" xr:uid="{048FA6A0-065C-41A4-A6C0-AB3A9DBEC1C0}">
  <cacheSource type="worksheet">
    <worksheetSource name="Sales_department"/>
  </cacheSource>
  <cacheFields count="14">
    <cacheField name="Customer ID" numFmtId="0">
      <sharedItems/>
    </cacheField>
    <cacheField name="Region" numFmtId="0">
      <sharedItems count="4">
        <s v="West"/>
        <s v="South"/>
        <s v="East"/>
        <s v="North"/>
      </sharedItems>
    </cacheField>
    <cacheField name="Country" numFmtId="0">
      <sharedItems/>
    </cacheField>
    <cacheField name="State" numFmtId="0">
      <sharedItems/>
    </cacheField>
    <cacheField name="Phone Number" numFmtId="0">
      <sharedItems containsSemiMixedTypes="0" containsString="0" containsNumber="1" containsInteger="1" minValue="85" maxValue="99831923457"/>
    </cacheField>
    <cacheField name="Category" numFmtId="0">
      <sharedItems count="3">
        <s v="Clothing"/>
        <s v="Furniture"/>
        <s v="Electronics"/>
      </sharedItems>
    </cacheField>
    <cacheField name="Product" numFmtId="0">
      <sharedItems/>
    </cacheField>
    <cacheField name="Price" numFmtId="0">
      <sharedItems containsSemiMixedTypes="0" containsString="0" containsNumber="1" minValue="238.37" maxValue="2896.96"/>
    </cacheField>
    <cacheField name="Units Sold" numFmtId="0">
      <sharedItems containsSemiMixedTypes="0" containsString="0" containsNumber="1" containsInteger="1" minValue="1" maxValue="15"/>
    </cacheField>
    <cacheField name="Profit" numFmtId="0">
      <sharedItems containsSemiMixedTypes="0" containsString="0" containsNumber="1" minValue="163.57" maxValue="11123.31"/>
    </cacheField>
    <cacheField name="Mode of Payment" numFmtId="0">
      <sharedItems/>
    </cacheField>
    <cacheField name="Revenue" numFmtId="0">
      <sharedItems containsSemiMixedTypes="0" containsString="0" containsNumber="1" minValue="1248.54" maxValue="42729.15"/>
    </cacheField>
    <cacheField name="Profit %" numFmtId="2">
      <sharedItems containsSemiMixedTypes="0" containsString="0" containsNumber="1" minValue="10.260379537094977" maxValue="29.979176582579726"/>
    </cacheField>
    <cacheField name="Labe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4-01-01T00:00:00"/>
    <x v="0"/>
    <s v="Overturn"/>
    <x v="0"/>
    <x v="0"/>
    <x v="0"/>
    <x v="0"/>
    <x v="0"/>
    <n v="0"/>
  </r>
  <r>
    <x v="1"/>
    <d v="2024-03-29T00:00:00"/>
    <x v="1"/>
    <s v="Overturn"/>
    <x v="0"/>
    <x v="1"/>
    <x v="1"/>
    <x v="0"/>
    <x v="1"/>
    <n v="0"/>
  </r>
  <r>
    <x v="2"/>
    <d v="2024-01-05T00:00:00"/>
    <x v="1"/>
    <s v="Overturn"/>
    <x v="1"/>
    <x v="2"/>
    <x v="2"/>
    <x v="1"/>
    <x v="0"/>
    <n v="3"/>
  </r>
  <r>
    <x v="3"/>
    <d v="2024-06-02T00:00:00"/>
    <x v="2"/>
    <s v="Collision"/>
    <x v="2"/>
    <x v="0"/>
    <x v="0"/>
    <x v="1"/>
    <x v="2"/>
    <n v="4"/>
  </r>
  <r>
    <x v="4"/>
    <d v="2024-02-28T00:00:00"/>
    <x v="3"/>
    <s v="Animal Hit"/>
    <x v="0"/>
    <x v="0"/>
    <x v="1"/>
    <x v="0"/>
    <x v="3"/>
    <n v="0"/>
  </r>
  <r>
    <x v="5"/>
    <d v="2024-04-17T00:00:00"/>
    <x v="3"/>
    <s v="Animal Hit"/>
    <x v="3"/>
    <x v="3"/>
    <x v="1"/>
    <x v="2"/>
    <x v="4"/>
    <n v="4"/>
  </r>
  <r>
    <x v="6"/>
    <d v="2024-02-16T00:00:00"/>
    <x v="4"/>
    <s v="Animal Hit"/>
    <x v="3"/>
    <x v="3"/>
    <x v="0"/>
    <x v="2"/>
    <x v="5"/>
    <n v="2"/>
  </r>
  <r>
    <x v="7"/>
    <d v="2024-03-18T00:00:00"/>
    <x v="0"/>
    <s v="Overturn"/>
    <x v="3"/>
    <x v="1"/>
    <x v="3"/>
    <x v="0"/>
    <x v="5"/>
    <n v="5"/>
  </r>
  <r>
    <x v="8"/>
    <d v="2024-05-13T00:00:00"/>
    <x v="1"/>
    <s v="Collision"/>
    <x v="3"/>
    <x v="2"/>
    <x v="2"/>
    <x v="2"/>
    <x v="3"/>
    <n v="2"/>
  </r>
  <r>
    <x v="9"/>
    <d v="2024-01-16T00:00:00"/>
    <x v="5"/>
    <s v="Collision"/>
    <x v="4"/>
    <x v="0"/>
    <x v="2"/>
    <x v="3"/>
    <x v="5"/>
    <n v="5"/>
  </r>
  <r>
    <x v="10"/>
    <d v="2024-01-08T00:00:00"/>
    <x v="2"/>
    <s v="Object Hit"/>
    <x v="0"/>
    <x v="0"/>
    <x v="1"/>
    <x v="1"/>
    <x v="0"/>
    <n v="0"/>
  </r>
  <r>
    <x v="11"/>
    <d v="2024-06-25T00:00:00"/>
    <x v="5"/>
    <s v="Pedestrian Hit"/>
    <x v="3"/>
    <x v="0"/>
    <x v="2"/>
    <x v="3"/>
    <x v="0"/>
    <n v="3"/>
  </r>
  <r>
    <x v="12"/>
    <d v="2024-03-29T00:00:00"/>
    <x v="3"/>
    <s v="Pedestrian Hit"/>
    <x v="1"/>
    <x v="3"/>
    <x v="3"/>
    <x v="3"/>
    <x v="5"/>
    <n v="1"/>
  </r>
  <r>
    <x v="13"/>
    <d v="2024-04-02T00:00:00"/>
    <x v="6"/>
    <s v="Overturn"/>
    <x v="5"/>
    <x v="1"/>
    <x v="0"/>
    <x v="3"/>
    <x v="4"/>
    <n v="2"/>
  </r>
  <r>
    <x v="14"/>
    <d v="2024-03-27T00:00:00"/>
    <x v="6"/>
    <s v="Pedestrian Hit"/>
    <x v="4"/>
    <x v="1"/>
    <x v="2"/>
    <x v="0"/>
    <x v="2"/>
    <n v="1"/>
  </r>
  <r>
    <x v="15"/>
    <d v="2024-05-19T00:00:00"/>
    <x v="6"/>
    <s v="Overturn"/>
    <x v="2"/>
    <x v="1"/>
    <x v="1"/>
    <x v="3"/>
    <x v="1"/>
    <n v="5"/>
  </r>
  <r>
    <x v="16"/>
    <d v="2024-03-03T00:00:00"/>
    <x v="0"/>
    <s v="Collision"/>
    <x v="4"/>
    <x v="2"/>
    <x v="2"/>
    <x v="0"/>
    <x v="1"/>
    <n v="4"/>
  </r>
  <r>
    <x v="17"/>
    <d v="2024-03-08T00:00:00"/>
    <x v="7"/>
    <s v="Overturn"/>
    <x v="3"/>
    <x v="2"/>
    <x v="2"/>
    <x v="0"/>
    <x v="2"/>
    <n v="3"/>
  </r>
  <r>
    <x v="18"/>
    <d v="2024-06-26T00:00:00"/>
    <x v="4"/>
    <s v="Overturn"/>
    <x v="4"/>
    <x v="3"/>
    <x v="3"/>
    <x v="3"/>
    <x v="4"/>
    <n v="4"/>
  </r>
  <r>
    <x v="19"/>
    <d v="2024-01-26T00:00:00"/>
    <x v="4"/>
    <s v="Collision"/>
    <x v="1"/>
    <x v="3"/>
    <x v="1"/>
    <x v="0"/>
    <x v="2"/>
    <n v="5"/>
  </r>
  <r>
    <x v="20"/>
    <d v="2024-02-05T00:00:00"/>
    <x v="2"/>
    <s v="Animal Hit"/>
    <x v="4"/>
    <x v="2"/>
    <x v="1"/>
    <x v="2"/>
    <x v="1"/>
    <n v="5"/>
  </r>
  <r>
    <x v="21"/>
    <d v="2024-06-07T00:00:00"/>
    <x v="0"/>
    <s v="Object Hit"/>
    <x v="2"/>
    <x v="1"/>
    <x v="2"/>
    <x v="1"/>
    <x v="3"/>
    <n v="4"/>
  </r>
  <r>
    <x v="22"/>
    <d v="2024-03-27T00:00:00"/>
    <x v="6"/>
    <s v="Collision"/>
    <x v="1"/>
    <x v="3"/>
    <x v="2"/>
    <x v="3"/>
    <x v="3"/>
    <n v="4"/>
  </r>
  <r>
    <x v="23"/>
    <d v="2024-02-24T00:00:00"/>
    <x v="1"/>
    <s v="Object Hit"/>
    <x v="2"/>
    <x v="3"/>
    <x v="0"/>
    <x v="0"/>
    <x v="0"/>
    <n v="0"/>
  </r>
  <r>
    <x v="24"/>
    <d v="2024-06-04T00:00:00"/>
    <x v="4"/>
    <s v="Animal Hit"/>
    <x v="4"/>
    <x v="3"/>
    <x v="1"/>
    <x v="1"/>
    <x v="4"/>
    <n v="1"/>
  </r>
  <r>
    <x v="25"/>
    <d v="2024-05-30T00:00:00"/>
    <x v="2"/>
    <s v="Collision"/>
    <x v="5"/>
    <x v="0"/>
    <x v="1"/>
    <x v="0"/>
    <x v="3"/>
    <n v="0"/>
  </r>
  <r>
    <x v="26"/>
    <d v="2024-04-04T00:00:00"/>
    <x v="0"/>
    <s v="Pedestrian Hit"/>
    <x v="3"/>
    <x v="2"/>
    <x v="3"/>
    <x v="1"/>
    <x v="0"/>
    <n v="0"/>
  </r>
  <r>
    <x v="27"/>
    <d v="2024-05-10T00:00:00"/>
    <x v="0"/>
    <s v="Overturn"/>
    <x v="1"/>
    <x v="1"/>
    <x v="0"/>
    <x v="3"/>
    <x v="2"/>
    <n v="4"/>
  </r>
  <r>
    <x v="28"/>
    <d v="2024-03-02T00:00:00"/>
    <x v="6"/>
    <s v="Animal Hit"/>
    <x v="0"/>
    <x v="3"/>
    <x v="1"/>
    <x v="3"/>
    <x v="3"/>
    <n v="4"/>
  </r>
  <r>
    <x v="29"/>
    <d v="2024-04-16T00:00:00"/>
    <x v="2"/>
    <s v="Pedestrian Hit"/>
    <x v="3"/>
    <x v="1"/>
    <x v="2"/>
    <x v="3"/>
    <x v="1"/>
    <n v="0"/>
  </r>
  <r>
    <x v="30"/>
    <d v="2024-06-09T00:00:00"/>
    <x v="7"/>
    <s v="Object Hit"/>
    <x v="4"/>
    <x v="3"/>
    <x v="3"/>
    <x v="3"/>
    <x v="0"/>
    <n v="5"/>
  </r>
  <r>
    <x v="31"/>
    <d v="2024-02-25T00:00:00"/>
    <x v="6"/>
    <s v="Pedestrian Hit"/>
    <x v="0"/>
    <x v="3"/>
    <x v="1"/>
    <x v="1"/>
    <x v="4"/>
    <n v="2"/>
  </r>
  <r>
    <x v="32"/>
    <d v="2024-06-24T00:00:00"/>
    <x v="2"/>
    <s v="Object Hit"/>
    <x v="0"/>
    <x v="2"/>
    <x v="1"/>
    <x v="1"/>
    <x v="1"/>
    <n v="1"/>
  </r>
  <r>
    <x v="33"/>
    <d v="2024-04-21T00:00:00"/>
    <x v="7"/>
    <s v="Animal Hit"/>
    <x v="1"/>
    <x v="0"/>
    <x v="2"/>
    <x v="2"/>
    <x v="4"/>
    <n v="1"/>
  </r>
  <r>
    <x v="34"/>
    <d v="2024-01-02T00:00:00"/>
    <x v="1"/>
    <s v="Overturn"/>
    <x v="2"/>
    <x v="0"/>
    <x v="3"/>
    <x v="3"/>
    <x v="5"/>
    <n v="3"/>
  </r>
  <r>
    <x v="35"/>
    <d v="2024-05-24T00:00:00"/>
    <x v="7"/>
    <s v="Animal Hit"/>
    <x v="0"/>
    <x v="0"/>
    <x v="3"/>
    <x v="0"/>
    <x v="1"/>
    <n v="4"/>
  </r>
  <r>
    <x v="36"/>
    <d v="2024-01-26T00:00:00"/>
    <x v="5"/>
    <s v="Object Hit"/>
    <x v="4"/>
    <x v="0"/>
    <x v="2"/>
    <x v="2"/>
    <x v="0"/>
    <n v="5"/>
  </r>
  <r>
    <x v="37"/>
    <d v="2024-01-23T00:00:00"/>
    <x v="3"/>
    <s v="Overturn"/>
    <x v="0"/>
    <x v="2"/>
    <x v="2"/>
    <x v="3"/>
    <x v="5"/>
    <n v="0"/>
  </r>
  <r>
    <x v="38"/>
    <d v="2024-04-26T00:00:00"/>
    <x v="2"/>
    <s v="Animal Hit"/>
    <x v="3"/>
    <x v="1"/>
    <x v="2"/>
    <x v="1"/>
    <x v="5"/>
    <n v="2"/>
  </r>
  <r>
    <x v="39"/>
    <d v="2024-03-14T00:00:00"/>
    <x v="0"/>
    <s v="Overturn"/>
    <x v="0"/>
    <x v="3"/>
    <x v="1"/>
    <x v="1"/>
    <x v="3"/>
    <n v="1"/>
  </r>
  <r>
    <x v="40"/>
    <d v="2024-01-10T00:00:00"/>
    <x v="0"/>
    <s v="Animal Hit"/>
    <x v="0"/>
    <x v="0"/>
    <x v="3"/>
    <x v="2"/>
    <x v="2"/>
    <n v="4"/>
  </r>
  <r>
    <x v="41"/>
    <d v="2024-04-28T00:00:00"/>
    <x v="1"/>
    <s v="Collision"/>
    <x v="3"/>
    <x v="1"/>
    <x v="2"/>
    <x v="2"/>
    <x v="5"/>
    <n v="2"/>
  </r>
  <r>
    <x v="42"/>
    <d v="2024-01-23T00:00:00"/>
    <x v="3"/>
    <s v="Overturn"/>
    <x v="1"/>
    <x v="2"/>
    <x v="2"/>
    <x v="2"/>
    <x v="2"/>
    <n v="2"/>
  </r>
  <r>
    <x v="43"/>
    <d v="2024-03-19T00:00:00"/>
    <x v="0"/>
    <s v="Animal Hit"/>
    <x v="3"/>
    <x v="2"/>
    <x v="3"/>
    <x v="1"/>
    <x v="3"/>
    <n v="4"/>
  </r>
  <r>
    <x v="44"/>
    <d v="2024-03-20T00:00:00"/>
    <x v="0"/>
    <s v="Overturn"/>
    <x v="5"/>
    <x v="0"/>
    <x v="3"/>
    <x v="3"/>
    <x v="2"/>
    <n v="3"/>
  </r>
  <r>
    <x v="45"/>
    <d v="2024-05-05T00:00:00"/>
    <x v="1"/>
    <s v="Animal Hit"/>
    <x v="4"/>
    <x v="3"/>
    <x v="0"/>
    <x v="2"/>
    <x v="5"/>
    <n v="0"/>
  </r>
  <r>
    <x v="46"/>
    <d v="2024-04-20T00:00:00"/>
    <x v="0"/>
    <s v="Overturn"/>
    <x v="3"/>
    <x v="1"/>
    <x v="0"/>
    <x v="3"/>
    <x v="0"/>
    <n v="1"/>
  </r>
  <r>
    <x v="47"/>
    <d v="2024-06-23T00:00:00"/>
    <x v="6"/>
    <s v="Animal Hit"/>
    <x v="4"/>
    <x v="3"/>
    <x v="3"/>
    <x v="1"/>
    <x v="4"/>
    <n v="0"/>
  </r>
  <r>
    <x v="48"/>
    <d v="2024-03-18T00:00:00"/>
    <x v="7"/>
    <s v="Collision"/>
    <x v="4"/>
    <x v="0"/>
    <x v="0"/>
    <x v="0"/>
    <x v="3"/>
    <n v="5"/>
  </r>
  <r>
    <x v="49"/>
    <d v="2024-05-24T00:00:00"/>
    <x v="3"/>
    <s v="Pedestrian Hit"/>
    <x v="2"/>
    <x v="1"/>
    <x v="1"/>
    <x v="2"/>
    <x v="5"/>
    <n v="2"/>
  </r>
  <r>
    <x v="50"/>
    <d v="2024-04-01T00:00:00"/>
    <x v="5"/>
    <s v="Collision"/>
    <x v="1"/>
    <x v="2"/>
    <x v="0"/>
    <x v="0"/>
    <x v="4"/>
    <n v="0"/>
  </r>
  <r>
    <x v="51"/>
    <d v="2024-02-25T00:00:00"/>
    <x v="4"/>
    <s v="Animal Hit"/>
    <x v="2"/>
    <x v="1"/>
    <x v="1"/>
    <x v="3"/>
    <x v="3"/>
    <n v="2"/>
  </r>
  <r>
    <x v="52"/>
    <d v="2024-01-20T00:00:00"/>
    <x v="7"/>
    <s v="Pedestrian Hit"/>
    <x v="3"/>
    <x v="2"/>
    <x v="2"/>
    <x v="0"/>
    <x v="4"/>
    <n v="3"/>
  </r>
  <r>
    <x v="53"/>
    <d v="2024-02-23T00:00:00"/>
    <x v="0"/>
    <s v="Animal Hit"/>
    <x v="2"/>
    <x v="2"/>
    <x v="0"/>
    <x v="3"/>
    <x v="4"/>
    <n v="5"/>
  </r>
  <r>
    <x v="54"/>
    <d v="2024-05-21T00:00:00"/>
    <x v="0"/>
    <s v="Overturn"/>
    <x v="0"/>
    <x v="0"/>
    <x v="1"/>
    <x v="0"/>
    <x v="2"/>
    <n v="4"/>
  </r>
  <r>
    <x v="55"/>
    <d v="2024-03-23T00:00:00"/>
    <x v="3"/>
    <s v="Overturn"/>
    <x v="5"/>
    <x v="1"/>
    <x v="2"/>
    <x v="0"/>
    <x v="4"/>
    <n v="3"/>
  </r>
  <r>
    <x v="56"/>
    <d v="2024-05-21T00:00:00"/>
    <x v="3"/>
    <s v="Overturn"/>
    <x v="5"/>
    <x v="2"/>
    <x v="2"/>
    <x v="2"/>
    <x v="5"/>
    <n v="5"/>
  </r>
  <r>
    <x v="57"/>
    <d v="2024-03-16T00:00:00"/>
    <x v="0"/>
    <s v="Collision"/>
    <x v="0"/>
    <x v="1"/>
    <x v="3"/>
    <x v="2"/>
    <x v="2"/>
    <n v="2"/>
  </r>
  <r>
    <x v="58"/>
    <d v="2024-01-26T00:00:00"/>
    <x v="1"/>
    <s v="Collision"/>
    <x v="3"/>
    <x v="1"/>
    <x v="2"/>
    <x v="1"/>
    <x v="5"/>
    <n v="4"/>
  </r>
  <r>
    <x v="59"/>
    <d v="2024-05-14T00:00:00"/>
    <x v="2"/>
    <s v="Overturn"/>
    <x v="3"/>
    <x v="3"/>
    <x v="0"/>
    <x v="1"/>
    <x v="4"/>
    <n v="2"/>
  </r>
  <r>
    <x v="60"/>
    <d v="2024-05-11T00:00:00"/>
    <x v="0"/>
    <s v="Animal Hit"/>
    <x v="1"/>
    <x v="1"/>
    <x v="2"/>
    <x v="1"/>
    <x v="2"/>
    <n v="5"/>
  </r>
  <r>
    <x v="61"/>
    <d v="2024-03-04T00:00:00"/>
    <x v="1"/>
    <s v="Collision"/>
    <x v="4"/>
    <x v="1"/>
    <x v="1"/>
    <x v="2"/>
    <x v="5"/>
    <n v="5"/>
  </r>
  <r>
    <x v="62"/>
    <d v="2024-06-10T00:00:00"/>
    <x v="6"/>
    <s v="Animal Hit"/>
    <x v="0"/>
    <x v="0"/>
    <x v="2"/>
    <x v="3"/>
    <x v="2"/>
    <n v="1"/>
  </r>
  <r>
    <x v="63"/>
    <d v="2024-01-10T00:00:00"/>
    <x v="7"/>
    <s v="Overturn"/>
    <x v="5"/>
    <x v="3"/>
    <x v="2"/>
    <x v="3"/>
    <x v="5"/>
    <n v="4"/>
  </r>
  <r>
    <x v="64"/>
    <d v="2024-03-09T00:00:00"/>
    <x v="2"/>
    <s v="Pedestrian Hit"/>
    <x v="0"/>
    <x v="2"/>
    <x v="0"/>
    <x v="2"/>
    <x v="1"/>
    <n v="1"/>
  </r>
  <r>
    <x v="65"/>
    <d v="2024-03-16T00:00:00"/>
    <x v="5"/>
    <s v="Overturn"/>
    <x v="4"/>
    <x v="2"/>
    <x v="3"/>
    <x v="2"/>
    <x v="0"/>
    <n v="2"/>
  </r>
  <r>
    <x v="66"/>
    <d v="2024-02-15T00:00:00"/>
    <x v="3"/>
    <s v="Collision"/>
    <x v="1"/>
    <x v="0"/>
    <x v="3"/>
    <x v="1"/>
    <x v="5"/>
    <n v="1"/>
  </r>
  <r>
    <x v="67"/>
    <d v="2024-05-05T00:00:00"/>
    <x v="3"/>
    <s v="Overturn"/>
    <x v="1"/>
    <x v="2"/>
    <x v="1"/>
    <x v="0"/>
    <x v="4"/>
    <n v="3"/>
  </r>
  <r>
    <x v="68"/>
    <d v="2024-04-26T00:00:00"/>
    <x v="1"/>
    <s v="Animal Hit"/>
    <x v="4"/>
    <x v="3"/>
    <x v="2"/>
    <x v="0"/>
    <x v="0"/>
    <n v="0"/>
  </r>
  <r>
    <x v="69"/>
    <d v="2024-01-11T00:00:00"/>
    <x v="7"/>
    <s v="Animal Hit"/>
    <x v="1"/>
    <x v="1"/>
    <x v="1"/>
    <x v="2"/>
    <x v="5"/>
    <n v="4"/>
  </r>
  <r>
    <x v="70"/>
    <d v="2024-05-18T00:00:00"/>
    <x v="6"/>
    <s v="Object Hit"/>
    <x v="3"/>
    <x v="0"/>
    <x v="0"/>
    <x v="2"/>
    <x v="0"/>
    <n v="2"/>
  </r>
  <r>
    <x v="71"/>
    <d v="2024-06-05T00:00:00"/>
    <x v="1"/>
    <s v="Animal Hit"/>
    <x v="5"/>
    <x v="3"/>
    <x v="0"/>
    <x v="3"/>
    <x v="4"/>
    <n v="4"/>
  </r>
  <r>
    <x v="72"/>
    <d v="2024-03-01T00:00:00"/>
    <x v="3"/>
    <s v="Animal Hit"/>
    <x v="4"/>
    <x v="2"/>
    <x v="0"/>
    <x v="2"/>
    <x v="3"/>
    <n v="1"/>
  </r>
  <r>
    <x v="73"/>
    <d v="2024-06-17T00:00:00"/>
    <x v="3"/>
    <s v="Animal Hit"/>
    <x v="3"/>
    <x v="0"/>
    <x v="3"/>
    <x v="1"/>
    <x v="4"/>
    <n v="3"/>
  </r>
  <r>
    <x v="74"/>
    <d v="2024-04-17T00:00:00"/>
    <x v="7"/>
    <s v="Pedestrian Hit"/>
    <x v="5"/>
    <x v="3"/>
    <x v="1"/>
    <x v="0"/>
    <x v="1"/>
    <n v="4"/>
  </r>
  <r>
    <x v="75"/>
    <d v="2024-05-25T00:00:00"/>
    <x v="3"/>
    <s v="Object Hit"/>
    <x v="2"/>
    <x v="3"/>
    <x v="0"/>
    <x v="1"/>
    <x v="3"/>
    <n v="4"/>
  </r>
  <r>
    <x v="76"/>
    <d v="2024-02-08T00:00:00"/>
    <x v="6"/>
    <s v="Object Hit"/>
    <x v="2"/>
    <x v="0"/>
    <x v="2"/>
    <x v="2"/>
    <x v="2"/>
    <n v="2"/>
  </r>
  <r>
    <x v="77"/>
    <d v="2024-03-31T00:00:00"/>
    <x v="6"/>
    <s v="Pedestrian Hit"/>
    <x v="3"/>
    <x v="0"/>
    <x v="1"/>
    <x v="1"/>
    <x v="0"/>
    <n v="0"/>
  </r>
  <r>
    <x v="78"/>
    <d v="2024-02-07T00:00:00"/>
    <x v="1"/>
    <s v="Collision"/>
    <x v="5"/>
    <x v="0"/>
    <x v="3"/>
    <x v="2"/>
    <x v="0"/>
    <n v="5"/>
  </r>
  <r>
    <x v="79"/>
    <d v="2024-03-24T00:00:00"/>
    <x v="5"/>
    <s v="Overturn"/>
    <x v="0"/>
    <x v="3"/>
    <x v="0"/>
    <x v="2"/>
    <x v="1"/>
    <n v="4"/>
  </r>
  <r>
    <x v="80"/>
    <d v="2024-01-29T00:00:00"/>
    <x v="4"/>
    <s v="Collision"/>
    <x v="3"/>
    <x v="0"/>
    <x v="0"/>
    <x v="3"/>
    <x v="1"/>
    <n v="0"/>
  </r>
  <r>
    <x v="81"/>
    <d v="2024-04-22T00:00:00"/>
    <x v="5"/>
    <s v="Collision"/>
    <x v="5"/>
    <x v="2"/>
    <x v="3"/>
    <x v="1"/>
    <x v="0"/>
    <n v="3"/>
  </r>
  <r>
    <x v="82"/>
    <d v="2024-05-12T00:00:00"/>
    <x v="1"/>
    <s v="Object Hit"/>
    <x v="4"/>
    <x v="2"/>
    <x v="1"/>
    <x v="0"/>
    <x v="3"/>
    <n v="4"/>
  </r>
  <r>
    <x v="83"/>
    <d v="2024-01-28T00:00:00"/>
    <x v="2"/>
    <s v="Overturn"/>
    <x v="4"/>
    <x v="3"/>
    <x v="2"/>
    <x v="3"/>
    <x v="2"/>
    <n v="2"/>
  </r>
  <r>
    <x v="84"/>
    <d v="2024-01-17T00:00:00"/>
    <x v="4"/>
    <s v="Animal Hit"/>
    <x v="2"/>
    <x v="1"/>
    <x v="3"/>
    <x v="3"/>
    <x v="5"/>
    <n v="3"/>
  </r>
  <r>
    <x v="85"/>
    <d v="2024-01-11T00:00:00"/>
    <x v="7"/>
    <s v="Animal Hit"/>
    <x v="3"/>
    <x v="0"/>
    <x v="0"/>
    <x v="3"/>
    <x v="4"/>
    <n v="2"/>
  </r>
  <r>
    <x v="86"/>
    <d v="2024-06-14T00:00:00"/>
    <x v="5"/>
    <s v="Animal Hit"/>
    <x v="4"/>
    <x v="2"/>
    <x v="3"/>
    <x v="0"/>
    <x v="2"/>
    <n v="1"/>
  </r>
  <r>
    <x v="87"/>
    <d v="2024-03-22T00:00:00"/>
    <x v="0"/>
    <s v="Object Hit"/>
    <x v="1"/>
    <x v="2"/>
    <x v="0"/>
    <x v="0"/>
    <x v="3"/>
    <n v="2"/>
  </r>
  <r>
    <x v="88"/>
    <d v="2024-06-02T00:00:00"/>
    <x v="6"/>
    <s v="Object Hit"/>
    <x v="0"/>
    <x v="1"/>
    <x v="0"/>
    <x v="2"/>
    <x v="5"/>
    <n v="0"/>
  </r>
  <r>
    <x v="89"/>
    <d v="2024-01-03T00:00:00"/>
    <x v="1"/>
    <s v="Collision"/>
    <x v="3"/>
    <x v="0"/>
    <x v="0"/>
    <x v="3"/>
    <x v="0"/>
    <n v="1"/>
  </r>
  <r>
    <x v="90"/>
    <d v="2024-06-15T00:00:00"/>
    <x v="7"/>
    <s v="Pedestrian Hit"/>
    <x v="0"/>
    <x v="1"/>
    <x v="2"/>
    <x v="1"/>
    <x v="5"/>
    <n v="4"/>
  </r>
  <r>
    <x v="91"/>
    <d v="2024-03-18T00:00:00"/>
    <x v="0"/>
    <s v="Collision"/>
    <x v="5"/>
    <x v="0"/>
    <x v="1"/>
    <x v="1"/>
    <x v="1"/>
    <n v="1"/>
  </r>
  <r>
    <x v="92"/>
    <d v="2024-04-07T00:00:00"/>
    <x v="2"/>
    <s v="Pedestrian Hit"/>
    <x v="4"/>
    <x v="1"/>
    <x v="3"/>
    <x v="3"/>
    <x v="1"/>
    <n v="5"/>
  </r>
  <r>
    <x v="93"/>
    <d v="2024-06-13T00:00:00"/>
    <x v="7"/>
    <s v="Animal Hit"/>
    <x v="1"/>
    <x v="0"/>
    <x v="1"/>
    <x v="1"/>
    <x v="1"/>
    <n v="0"/>
  </r>
  <r>
    <x v="94"/>
    <d v="2024-02-20T00:00:00"/>
    <x v="1"/>
    <s v="Collision"/>
    <x v="1"/>
    <x v="0"/>
    <x v="1"/>
    <x v="2"/>
    <x v="4"/>
    <n v="3"/>
  </r>
  <r>
    <x v="95"/>
    <d v="2024-01-22T00:00:00"/>
    <x v="3"/>
    <s v="Animal Hit"/>
    <x v="3"/>
    <x v="0"/>
    <x v="2"/>
    <x v="2"/>
    <x v="4"/>
    <n v="5"/>
  </r>
  <r>
    <x v="96"/>
    <d v="2024-04-21T00:00:00"/>
    <x v="4"/>
    <s v="Object Hit"/>
    <x v="2"/>
    <x v="2"/>
    <x v="1"/>
    <x v="1"/>
    <x v="4"/>
    <n v="3"/>
  </r>
  <r>
    <x v="97"/>
    <d v="2024-04-08T00:00:00"/>
    <x v="4"/>
    <s v="Pedestrian Hit"/>
    <x v="4"/>
    <x v="2"/>
    <x v="3"/>
    <x v="3"/>
    <x v="5"/>
    <n v="0"/>
  </r>
  <r>
    <x v="98"/>
    <d v="2024-06-21T00:00:00"/>
    <x v="7"/>
    <s v="Overturn"/>
    <x v="0"/>
    <x v="0"/>
    <x v="3"/>
    <x v="2"/>
    <x v="4"/>
    <n v="4"/>
  </r>
  <r>
    <x v="99"/>
    <d v="2024-01-26T00:00:00"/>
    <x v="5"/>
    <s v="Pedestrian Hit"/>
    <x v="4"/>
    <x v="2"/>
    <x v="1"/>
    <x v="3"/>
    <x v="0"/>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UST1000"/>
    <x v="0"/>
    <s v="India"/>
    <s v="Karnataka"/>
    <n v="9515759149"/>
    <x v="0"/>
    <s v="Shirt"/>
    <n v="2439.81"/>
    <n v="5"/>
    <n v="3559.55"/>
    <s v="Credit Card"/>
    <n v="12199.05"/>
    <n v="29.178911472614672"/>
    <s v="High"/>
  </r>
  <r>
    <s v="CUST1001"/>
    <x v="0"/>
    <s v="India"/>
    <s v="Karnataka"/>
    <n v="9720381947"/>
    <x v="1"/>
    <s v="Table"/>
    <n v="1621.43"/>
    <n v="13"/>
    <n v="4029.57"/>
    <s v="Net Banking"/>
    <n v="21078.59"/>
    <n v="19.116885901760984"/>
    <s v="High"/>
  </r>
  <r>
    <s v="CUST1002"/>
    <x v="1"/>
    <s v="India"/>
    <s v="West Bengal"/>
    <n v="9483465530"/>
    <x v="0"/>
    <s v="T-shirt"/>
    <n v="1363.73"/>
    <n v="1"/>
    <n v="362.2"/>
    <s v="Net Banking"/>
    <n v="1363.73"/>
    <n v="26.559509580342151"/>
    <s v="Low"/>
  </r>
  <r>
    <s v="CUST1003"/>
    <x v="1"/>
    <s v="India"/>
    <s v="West Bengal"/>
    <n v="9350165589"/>
    <x v="1"/>
    <s v="Sofa"/>
    <n v="1172.93"/>
    <n v="5"/>
    <n v="1542.65"/>
    <s v="Cash"/>
    <n v="5864.6500000000005"/>
    <n v="26.304212527601816"/>
    <s v="Medium"/>
  </r>
  <r>
    <s v="CUST1004"/>
    <x v="1"/>
    <s v="India"/>
    <s v="Karnataka"/>
    <n v="9621991901"/>
    <x v="0"/>
    <s v="Jeans"/>
    <n v="2457.56"/>
    <n v="13"/>
    <n v="6972.71"/>
    <s v="Credit Card"/>
    <n v="31948.28"/>
    <n v="21.8249933955756"/>
    <s v="High"/>
  </r>
  <r>
    <s v="CUST1005"/>
    <x v="1"/>
    <s v="India"/>
    <s v="West Bengal"/>
    <n v="9734105442"/>
    <x v="0"/>
    <s v="Dress"/>
    <n v="2661.44"/>
    <n v="7"/>
    <n v="2581.67"/>
    <s v="Net Banking"/>
    <n v="18630.080000000002"/>
    <n v="13.857535770109413"/>
    <s v="High"/>
  </r>
  <r>
    <s v="CUST1006"/>
    <x v="2"/>
    <s v="India"/>
    <s v="Tamil Nadu"/>
    <n v="9117390999"/>
    <x v="0"/>
    <s v="T-shirt"/>
    <n v="1400.82"/>
    <n v="6"/>
    <n v="994.44"/>
    <s v="UPI"/>
    <n v="8404.92"/>
    <n v="11.831641467140676"/>
    <s v="Medium"/>
  </r>
  <r>
    <s v="CUST1007"/>
    <x v="0"/>
    <s v="India"/>
    <s v="Karnataka"/>
    <n v="9513032833"/>
    <x v="1"/>
    <s v="Chair"/>
    <n v="416.18"/>
    <n v="3"/>
    <n v="327.88"/>
    <s v="Net Banking"/>
    <n v="1248.54"/>
    <n v="26.261072933185964"/>
    <s v="Low"/>
  </r>
  <r>
    <s v="CUST1008"/>
    <x v="1"/>
    <s v="India"/>
    <s v="Maharashtra"/>
    <n v="95543976868"/>
    <x v="1"/>
    <s v="Chair"/>
    <n v="1290.47"/>
    <n v="6"/>
    <n v="1045.43"/>
    <s v="Net Banking"/>
    <n v="7742.82"/>
    <n v="13.501928238032141"/>
    <s v="Medium"/>
  </r>
  <r>
    <s v="CUST1009"/>
    <x v="0"/>
    <s v="India"/>
    <s v="Gujarat"/>
    <n v="9866250123"/>
    <x v="0"/>
    <s v="T-shirt"/>
    <n v="2519.94"/>
    <n v="15"/>
    <n v="11123.31"/>
    <s v="Cash"/>
    <n v="37799.1"/>
    <n v="29.427446685238539"/>
    <s v="High"/>
  </r>
  <r>
    <s v="CUST1010"/>
    <x v="1"/>
    <s v="India"/>
    <s v="Rajasthan"/>
    <n v="9884314044"/>
    <x v="0"/>
    <s v="T-shirt"/>
    <n v="2814.97"/>
    <n v="1"/>
    <n v="716.15"/>
    <s v="Net Banking"/>
    <n v="2814.97"/>
    <n v="25.440768462896585"/>
    <s v="Low"/>
  </r>
  <r>
    <s v="CUST1011"/>
    <x v="2"/>
    <s v="India"/>
    <s v="West Bengal"/>
    <n v="9192128284"/>
    <x v="0"/>
    <s v="Jeans"/>
    <n v="841.72"/>
    <n v="13"/>
    <n v="2130.1799999999998"/>
    <s v="UPI"/>
    <n v="10942.36"/>
    <n v="19.467281281186143"/>
    <s v="High"/>
  </r>
  <r>
    <s v="CUST1012"/>
    <x v="3"/>
    <s v="India"/>
    <s v="West Bengal"/>
    <n v="9731590483"/>
    <x v="2"/>
    <s v="Tablet"/>
    <n v="1169.28"/>
    <n v="2"/>
    <n v="273.95"/>
    <s v="Credit Card"/>
    <n v="2338.56"/>
    <n v="11.714473864258347"/>
    <s v="Low"/>
  </r>
  <r>
    <s v="CUST1013"/>
    <x v="0"/>
    <s v="India"/>
    <s v="Karnataka"/>
    <n v="9245312903"/>
    <x v="1"/>
    <s v="Bookshelf"/>
    <n v="2320.0300000000002"/>
    <n v="3"/>
    <n v="1260.55"/>
    <s v="Credit Card"/>
    <n v="6960.09"/>
    <n v="18.111116379242219"/>
    <s v="Medium"/>
  </r>
  <r>
    <s v="CUST1014"/>
    <x v="3"/>
    <s v="India"/>
    <s v="West Bengal"/>
    <n v="9587137236"/>
    <x v="0"/>
    <s v="T-shirt"/>
    <n v="1780.66"/>
    <n v="11"/>
    <n v="2826.93"/>
    <s v="UPI"/>
    <n v="19587.260000000002"/>
    <n v="14.432493365585589"/>
    <s v="High"/>
  </r>
  <r>
    <s v="CUST1015"/>
    <x v="3"/>
    <s v="India"/>
    <s v="Tamil Nadu"/>
    <n v="9161819590"/>
    <x v="2"/>
    <s v="Monitor"/>
    <n v="2672"/>
    <n v="15"/>
    <n v="4719.91"/>
    <s v="Cash"/>
    <n v="40080"/>
    <n v="11.776222554890218"/>
    <s v="High"/>
  </r>
  <r>
    <s v="CUST1016"/>
    <x v="1"/>
    <s v="India"/>
    <s v="West Bengal"/>
    <n v="9551484924"/>
    <x v="0"/>
    <s v="Jacket"/>
    <n v="824.49"/>
    <n v="9"/>
    <n v="1403.14"/>
    <s v="Debit Card"/>
    <n v="7420.41"/>
    <n v="18.909197739747537"/>
    <s v="Medium"/>
  </r>
  <r>
    <s v="CUST1017"/>
    <x v="2"/>
    <s v="India"/>
    <s v="Uttar Pradesh"/>
    <n v="91682255459"/>
    <x v="2"/>
    <s v="Headphones"/>
    <n v="2896.96"/>
    <n v="7"/>
    <n v="3528.3"/>
    <s v="Net Banking"/>
    <n v="20278.72"/>
    <n v="17.399027157532625"/>
    <s v="High"/>
  </r>
  <r>
    <s v="CUST1018"/>
    <x v="1"/>
    <s v="India"/>
    <s v="Maharashtra"/>
    <n v="9277023818"/>
    <x v="2"/>
    <s v="Monitor"/>
    <n v="1235.32"/>
    <n v="9"/>
    <n v="2542.0700000000002"/>
    <s v="Debit Card"/>
    <n v="11117.88"/>
    <n v="22.864700824257866"/>
    <s v="High"/>
  </r>
  <r>
    <s v="CUST1019"/>
    <x v="2"/>
    <s v="India"/>
    <s v="Gujarat"/>
    <n v="9670448490"/>
    <x v="1"/>
    <s v="Table"/>
    <n v="2168.33"/>
    <n v="3"/>
    <n v="1394.93"/>
    <s v="Cash"/>
    <n v="6504.99"/>
    <n v="21.443999145271555"/>
    <s v="Medium"/>
  </r>
  <r>
    <s v="CUST1020"/>
    <x v="2"/>
    <s v="India"/>
    <s v="West Bengal"/>
    <n v="9123788207"/>
    <x v="0"/>
    <s v="Jacket"/>
    <n v="2654.54"/>
    <n v="5"/>
    <n v="3308.52"/>
    <s v="Debit Card"/>
    <n v="13272.7"/>
    <n v="24.92725669984253"/>
    <s v="High"/>
  </r>
  <r>
    <s v="CUST1021"/>
    <x v="0"/>
    <s v="India"/>
    <s v="Tamil Nadu"/>
    <n v="99831923457"/>
    <x v="2"/>
    <s v="Laptop"/>
    <n v="1313.77"/>
    <n v="7"/>
    <n v="2435.5500000000002"/>
    <s v="Cash"/>
    <n v="9196.39"/>
    <n v="26.483761562961121"/>
    <s v="Medium"/>
  </r>
  <r>
    <s v="CUST1022"/>
    <x v="2"/>
    <s v="India"/>
    <s v="Gujarat"/>
    <n v="9822358874"/>
    <x v="2"/>
    <s v="Headphones"/>
    <n v="1602.24"/>
    <n v="13"/>
    <n v="3082.85"/>
    <s v="Debit Card"/>
    <n v="20829.12"/>
    <n v="14.8006732881658"/>
    <s v="High"/>
  </r>
  <r>
    <s v="CUST1023"/>
    <x v="0"/>
    <s v="India"/>
    <s v="Uttar Pradesh"/>
    <n v="9497595031"/>
    <x v="1"/>
    <s v="Sofa"/>
    <n v="592.33000000000004"/>
    <n v="4"/>
    <n v="539.64"/>
    <s v="Net Banking"/>
    <n v="2369.3200000000002"/>
    <n v="22.776155183765802"/>
    <s v="Low"/>
  </r>
  <r>
    <s v="CUST1024"/>
    <x v="1"/>
    <s v="India"/>
    <s v="Rajasthan"/>
    <n v="9781615192"/>
    <x v="2"/>
    <s v="Monitor"/>
    <n v="589.14"/>
    <n v="8"/>
    <n v="1252.56"/>
    <s v="Cash"/>
    <n v="4713.12"/>
    <n v="26.576026071901417"/>
    <s v="Low"/>
  </r>
  <r>
    <s v="CUST1025"/>
    <x v="3"/>
    <s v="India"/>
    <s v="Uttar Pradesh"/>
    <n v="9310431691"/>
    <x v="1"/>
    <s v="Chair"/>
    <n v="2354.6"/>
    <n v="4"/>
    <n v="2575.4299999999998"/>
    <s v="Credit Card"/>
    <n v="9418.4"/>
    <n v="27.344665760638748"/>
    <s v="Medium"/>
  </r>
  <r>
    <s v="CUST1026"/>
    <x v="2"/>
    <s v="India"/>
    <s v="Uttar Pradesh"/>
    <n v="9375633062"/>
    <x v="2"/>
    <s v="Smartphone"/>
    <n v="1920.55"/>
    <n v="6"/>
    <n v="2254.59"/>
    <s v="Credit Card"/>
    <n v="11523.3"/>
    <n v="19.565489052615138"/>
    <s v="High"/>
  </r>
  <r>
    <s v="CUST1027"/>
    <x v="2"/>
    <s v="India"/>
    <s v="West Bengal"/>
    <n v="9958467371"/>
    <x v="0"/>
    <s v="Dress"/>
    <n v="1086.4100000000001"/>
    <n v="7"/>
    <n v="2066.7600000000002"/>
    <s v="Credit Card"/>
    <n v="7604.8700000000008"/>
    <n v="27.176795921560785"/>
    <s v="Medium"/>
  </r>
  <r>
    <s v="CUST1028"/>
    <x v="2"/>
    <s v="India"/>
    <s v="West Bengal"/>
    <n v="9485913642"/>
    <x v="1"/>
    <s v="Bookshelf"/>
    <n v="1181.07"/>
    <n v="13"/>
    <n v="3821.07"/>
    <s v="Cash"/>
    <n v="15353.91"/>
    <n v="24.886624970447269"/>
    <s v="High"/>
  </r>
  <r>
    <s v="CUST1029"/>
    <x v="2"/>
    <s v="India"/>
    <s v="Uttar Pradesh"/>
    <n v="9942727052"/>
    <x v="1"/>
    <s v="Cupboard"/>
    <n v="2521.1999999999998"/>
    <n v="8"/>
    <n v="6046.68"/>
    <s v="Credit Card"/>
    <n v="20169.599999999999"/>
    <n v="29.979176582579726"/>
    <s v="High"/>
  </r>
  <r>
    <s v="CUST1030"/>
    <x v="1"/>
    <s v="India"/>
    <s v="Gujarat"/>
    <n v="9164209990"/>
    <x v="0"/>
    <s v="Jeans"/>
    <n v="1741.71"/>
    <n v="15"/>
    <n v="4026.14"/>
    <s v="UPI"/>
    <n v="26125.65"/>
    <n v="15.410678777370132"/>
    <s v="High"/>
  </r>
  <r>
    <s v="CUST1031"/>
    <x v="1"/>
    <s v="India"/>
    <s v="Uttar Pradesh"/>
    <n v="9972130283"/>
    <x v="1"/>
    <s v="Sofa"/>
    <n v="1691.18"/>
    <n v="9"/>
    <n v="3286.83"/>
    <s v="Net Banking"/>
    <n v="15220.62"/>
    <n v="21.594586817094179"/>
    <s v="High"/>
  </r>
  <r>
    <s v="CUST1032"/>
    <x v="1"/>
    <s v="India"/>
    <s v="Uttar Pradesh"/>
    <n v="9305312346"/>
    <x v="0"/>
    <s v="Jacket"/>
    <n v="2430.4899999999998"/>
    <n v="1"/>
    <n v="538.34"/>
    <s v="Debit Card"/>
    <n v="2430.4899999999998"/>
    <n v="22.14944311640863"/>
    <s v="Low"/>
  </r>
  <r>
    <s v="CUST1033"/>
    <x v="0"/>
    <s v="India"/>
    <s v="Uttar Pradesh"/>
    <n v="9403336927"/>
    <x v="0"/>
    <s v="Dress"/>
    <n v="1937.5"/>
    <n v="10"/>
    <n v="2548.08"/>
    <s v="UPI"/>
    <n v="19375"/>
    <n v="13.151380645161289"/>
    <s v="High"/>
  </r>
  <r>
    <s v="CUST1034"/>
    <x v="3"/>
    <s v="India"/>
    <s v="Karnataka"/>
    <n v="9209432112"/>
    <x v="0"/>
    <s v="T-shirt"/>
    <n v="2848.61"/>
    <n v="15"/>
    <n v="6188.69"/>
    <s v="Debit Card"/>
    <n v="42729.15"/>
    <n v="14.483531734190827"/>
    <s v="High"/>
  </r>
  <r>
    <s v="CUST1035"/>
    <x v="3"/>
    <s v="India"/>
    <s v="Maharashtra"/>
    <n v="92886736565"/>
    <x v="1"/>
    <s v="Cupboard"/>
    <n v="537.01"/>
    <n v="15"/>
    <n v="848.33"/>
    <s v="Debit Card"/>
    <n v="8055.15"/>
    <n v="10.531523311173597"/>
    <s v="Medium"/>
  </r>
  <r>
    <s v="CUST1036"/>
    <x v="2"/>
    <s v="India"/>
    <s v="Karnataka"/>
    <n v="9696039067"/>
    <x v="1"/>
    <s v="Sofa"/>
    <n v="2052.79"/>
    <n v="1"/>
    <n v="296.79000000000002"/>
    <s v="Net Banking"/>
    <n v="2052.79"/>
    <n v="14.457884147915765"/>
    <s v="Low"/>
  </r>
  <r>
    <s v="CUST1037"/>
    <x v="2"/>
    <s v="India"/>
    <s v="Maharashtra"/>
    <n v="9729755086"/>
    <x v="0"/>
    <s v="Jacket"/>
    <n v="1708.1"/>
    <n v="3"/>
    <n v="897.22"/>
    <s v="Credit Card"/>
    <n v="5124.2999999999993"/>
    <n v="17.509123197314757"/>
    <s v="Medium"/>
  </r>
  <r>
    <s v="CUST1038"/>
    <x v="2"/>
    <s v="India"/>
    <s v="Uttar Pradesh"/>
    <n v="9291717779"/>
    <x v="2"/>
    <s v="Headphones"/>
    <n v="1616.55"/>
    <n v="14"/>
    <n v="6621.29"/>
    <s v="Credit Card"/>
    <n v="22631.7"/>
    <n v="29.256706301338387"/>
    <s v="High"/>
  </r>
  <r>
    <s v="CUST1039"/>
    <x v="2"/>
    <s v="India"/>
    <s v="Karnataka"/>
    <n v="9596984707"/>
    <x v="0"/>
    <s v="Jeans"/>
    <n v="1774.62"/>
    <n v="7"/>
    <n v="3378.16"/>
    <s v="Credit Card"/>
    <n v="12422.34"/>
    <n v="27.194232326598687"/>
    <s v="High"/>
  </r>
  <r>
    <s v="CUST1040"/>
    <x v="1"/>
    <s v="India"/>
    <s v="Gujarat"/>
    <n v="9621477109"/>
    <x v="2"/>
    <s v="Smartphone"/>
    <n v="644.14"/>
    <n v="12"/>
    <n v="988.52"/>
    <s v="Cash"/>
    <n v="7729.68"/>
    <n v="12.788627731031553"/>
    <s v="Medium"/>
  </r>
  <r>
    <s v="CUST1041"/>
    <x v="1"/>
    <s v="India"/>
    <s v="West Bengal"/>
    <n v="9813614929"/>
    <x v="1"/>
    <s v="Sofa"/>
    <n v="1767.47"/>
    <n v="13"/>
    <n v="3353.4"/>
    <s v="UPI"/>
    <n v="22977.11"/>
    <n v="14.594524724823966"/>
    <s v="High"/>
  </r>
  <r>
    <s v="CUST1042"/>
    <x v="2"/>
    <s v="India"/>
    <s v="Tamil Nadu"/>
    <n v="9314930259"/>
    <x v="0"/>
    <s v="Dress"/>
    <n v="2506.6"/>
    <n v="11"/>
    <n v="8011.16"/>
    <s v="UPI"/>
    <n v="27572.6"/>
    <n v="29.05478627332932"/>
    <s v="High"/>
  </r>
  <r>
    <s v="CUST1043"/>
    <x v="0"/>
    <s v="India"/>
    <s v="West Bengal"/>
    <n v="93262535688"/>
    <x v="2"/>
    <s v="Tablet"/>
    <n v="727.87"/>
    <n v="2"/>
    <n v="385.93"/>
    <s v="Credit Card"/>
    <n v="1455.74"/>
    <n v="26.510915410718951"/>
    <s v="Low"/>
  </r>
  <r>
    <s v="CUST1044"/>
    <x v="0"/>
    <s v="India"/>
    <s v="Uttar Pradesh"/>
    <n v="9922473225"/>
    <x v="1"/>
    <s v="Sofa"/>
    <n v="2509.39"/>
    <n v="4"/>
    <n v="2607.48"/>
    <s v="Credit Card"/>
    <n v="10037.56"/>
    <n v="25.977229525900718"/>
    <s v="High"/>
  </r>
  <r>
    <s v="CUST1045"/>
    <x v="3"/>
    <s v="India"/>
    <s v="Rajasthan"/>
    <n v="9435049619"/>
    <x v="2"/>
    <s v="Monitor"/>
    <n v="254.27"/>
    <n v="5"/>
    <n v="247.89"/>
    <s v="Net Banking"/>
    <n v="1271.3500000000001"/>
    <n v="19.498171235301054"/>
    <s v="Low"/>
  </r>
  <r>
    <s v="CUST1046"/>
    <x v="2"/>
    <s v="India"/>
    <s v="Uttar Pradesh"/>
    <n v="9139717689"/>
    <x v="2"/>
    <s v="Tablet"/>
    <n v="1104.23"/>
    <n v="11"/>
    <n v="1883.37"/>
    <s v="Credit Card"/>
    <n v="12146.53"/>
    <n v="15.50541595006969"/>
    <s v="High"/>
  </r>
  <r>
    <s v="CUST1047"/>
    <x v="1"/>
    <s v="India"/>
    <s v="West Bengal"/>
    <n v="9873282041"/>
    <x v="2"/>
    <s v="Laptop"/>
    <n v="861.53"/>
    <n v="3"/>
    <n v="482.01"/>
    <s v="Debit Card"/>
    <n v="2584.59"/>
    <n v="18.649379592120994"/>
    <s v="Low"/>
  </r>
  <r>
    <s v="CUST1048"/>
    <x v="3"/>
    <s v="India"/>
    <s v="West Bengal"/>
    <n v="9520705759"/>
    <x v="0"/>
    <s v="T-shirt"/>
    <n v="940.76"/>
    <n v="4"/>
    <n v="842.47"/>
    <s v="Debit Card"/>
    <n v="3763.04"/>
    <n v="22.38801607211191"/>
    <s v="Low"/>
  </r>
  <r>
    <s v="CUST1049"/>
    <x v="2"/>
    <s v="India"/>
    <s v="West Bengal"/>
    <n v="9648648568"/>
    <x v="0"/>
    <s v="T-shirt"/>
    <n v="1505.5"/>
    <n v="11"/>
    <n v="3985.19"/>
    <s v="Debit Card"/>
    <n v="16560.5"/>
    <n v="24.064430421786781"/>
    <s v="High"/>
  </r>
  <r>
    <s v="CUST1050"/>
    <x v="0"/>
    <s v="India"/>
    <s v="Uttar Pradesh"/>
    <n v="9416435713"/>
    <x v="0"/>
    <s v="Jeans"/>
    <n v="1477.49"/>
    <n v="11"/>
    <n v="2428.98"/>
    <s v="Credit Card"/>
    <n v="16252.39"/>
    <n v="14.945371111571898"/>
    <s v="High"/>
  </r>
  <r>
    <s v="CUST1051"/>
    <x v="2"/>
    <s v="India"/>
    <s v="Rajasthan"/>
    <n v="9211381294"/>
    <x v="1"/>
    <s v="Chair"/>
    <n v="704.64"/>
    <n v="2"/>
    <n v="163.57"/>
    <s v="UPI"/>
    <n v="1409.28"/>
    <n v="11.606636012715713"/>
    <s v="Low"/>
  </r>
  <r>
    <s v="CUST1052"/>
    <x v="3"/>
    <s v="India"/>
    <s v="West Bengal"/>
    <n v="9791244114"/>
    <x v="1"/>
    <s v="Cupboard"/>
    <n v="2030.2"/>
    <n v="13"/>
    <n v="3695.03"/>
    <s v="Net Banking"/>
    <n v="26392.600000000002"/>
    <n v="14.000250070095404"/>
    <s v="High"/>
  </r>
  <r>
    <s v="CUST1053"/>
    <x v="0"/>
    <s v="India"/>
    <s v="Rajasthan"/>
    <n v="9194670146"/>
    <x v="0"/>
    <s v="Shirt"/>
    <n v="1822.28"/>
    <n v="4"/>
    <n v="1973.2"/>
    <s v="Cash"/>
    <n v="7289.12"/>
    <n v="27.070483131022677"/>
    <s v="Medium"/>
  </r>
  <r>
    <s v="CUST1054"/>
    <x v="3"/>
    <s v="India"/>
    <s v="Maharashtra"/>
    <n v="9519275644"/>
    <x v="1"/>
    <s v="Sofa"/>
    <n v="600.17999999999995"/>
    <n v="11"/>
    <n v="1525.57"/>
    <s v="Credit Card"/>
    <n v="6601.98"/>
    <n v="23.107764640304879"/>
    <s v="Medium"/>
  </r>
  <r>
    <s v="CUST1055"/>
    <x v="1"/>
    <s v="India"/>
    <s v="Maharashtra"/>
    <n v="9520013561"/>
    <x v="0"/>
    <s v="T-shirt"/>
    <n v="2330.36"/>
    <n v="7"/>
    <n v="3532.26"/>
    <s v="Debit Card"/>
    <n v="16312.52"/>
    <n v="21.653674600858729"/>
    <s v="High"/>
  </r>
  <r>
    <s v="CUST1056"/>
    <x v="3"/>
    <s v="India"/>
    <s v="Gujarat"/>
    <n v="95989895092"/>
    <x v="2"/>
    <s v="Headphones"/>
    <n v="1084.67"/>
    <n v="13"/>
    <n v="4140.1400000000003"/>
    <s v="Cash"/>
    <n v="14100.710000000001"/>
    <n v="29.361216562853926"/>
    <s v="High"/>
  </r>
  <r>
    <s v="CUST1057"/>
    <x v="2"/>
    <s v="India"/>
    <s v="Uttar Pradesh"/>
    <n v="9499862542"/>
    <x v="1"/>
    <s v="Cupboard"/>
    <n v="1893.55"/>
    <n v="12"/>
    <n v="3204.64"/>
    <s v="Net Banking"/>
    <n v="22722.6"/>
    <n v="14.103315641695932"/>
    <s v="High"/>
  </r>
  <r>
    <s v="CUST1058"/>
    <x v="3"/>
    <s v="India"/>
    <s v="Gujarat"/>
    <n v="9724136290"/>
    <x v="1"/>
    <s v="Chair"/>
    <n v="1747.22"/>
    <n v="6"/>
    <n v="2678.22"/>
    <s v="Cash"/>
    <n v="10483.32"/>
    <n v="25.547441077826488"/>
    <s v="High"/>
  </r>
  <r>
    <s v="CUST1059"/>
    <x v="2"/>
    <s v="India"/>
    <s v="Gujarat"/>
    <n v="9321909198"/>
    <x v="1"/>
    <s v="Bookshelf"/>
    <n v="287.31"/>
    <n v="8"/>
    <n v="381.56"/>
    <s v="Debit Card"/>
    <n v="2298.48"/>
    <n v="16.600536006404234"/>
    <s v="Low"/>
  </r>
  <r>
    <s v="CUST1060"/>
    <x v="3"/>
    <s v="India"/>
    <s v="Maharashtra"/>
    <n v="9760693305"/>
    <x v="0"/>
    <s v="Shirt"/>
    <n v="1700.05"/>
    <n v="2"/>
    <n v="383.92"/>
    <s v="UPI"/>
    <n v="3400.1"/>
    <n v="11.291432604923385"/>
    <s v="Low"/>
  </r>
  <r>
    <s v="CUST1061"/>
    <x v="2"/>
    <s v="India"/>
    <s v="Gujarat"/>
    <n v="9658575570"/>
    <x v="1"/>
    <s v="Bookshelf"/>
    <n v="1180.31"/>
    <n v="7"/>
    <n v="847.73"/>
    <s v="UPI"/>
    <n v="8262.17"/>
    <n v="10.260379537094977"/>
    <s v="Medium"/>
  </r>
  <r>
    <s v="CUST1062"/>
    <x v="1"/>
    <s v="India"/>
    <s v="Gujarat"/>
    <n v="9950273824"/>
    <x v="1"/>
    <s v="Cupboard"/>
    <n v="653.35"/>
    <n v="4"/>
    <n v="345.46"/>
    <s v="Credit Card"/>
    <n v="2613.4"/>
    <n v="13.218795438891865"/>
    <s v="Low"/>
  </r>
  <r>
    <s v="CUST1063"/>
    <x v="1"/>
    <s v="India"/>
    <s v="Tamil Nadu"/>
    <n v="9898816813"/>
    <x v="2"/>
    <s v="Laptop"/>
    <n v="1881.74"/>
    <n v="4"/>
    <n v="1363.83"/>
    <s v="Debit Card"/>
    <n v="7526.96"/>
    <n v="18.119267273906065"/>
    <s v="Medium"/>
  </r>
  <r>
    <s v="CUST1064"/>
    <x v="3"/>
    <s v="India"/>
    <s v="Rajasthan"/>
    <n v="9571594565"/>
    <x v="1"/>
    <s v="Table"/>
    <n v="1206.3499999999999"/>
    <n v="15"/>
    <n v="2801.82"/>
    <s v="UPI"/>
    <n v="18095.25"/>
    <n v="15.483731918597424"/>
    <s v="High"/>
  </r>
  <r>
    <s v="CUST1065"/>
    <x v="1"/>
    <s v="India"/>
    <s v="Maharashtra"/>
    <n v="9684352160"/>
    <x v="0"/>
    <s v="Jacket"/>
    <n v="1849.95"/>
    <n v="5"/>
    <n v="2111.02"/>
    <s v="Debit Card"/>
    <n v="9249.75"/>
    <n v="22.822454660936781"/>
    <s v="Medium"/>
  </r>
  <r>
    <s v="CUST1066"/>
    <x v="0"/>
    <s v="India"/>
    <s v="West Bengal"/>
    <n v="9845713875"/>
    <x v="2"/>
    <s v="Tablet"/>
    <n v="1896.1"/>
    <n v="5"/>
    <n v="2676.46"/>
    <s v="Debit Card"/>
    <n v="9480.5"/>
    <n v="28.231211433996094"/>
    <s v="Medium"/>
  </r>
  <r>
    <s v="CUST1067"/>
    <x v="1"/>
    <s v="India"/>
    <s v="Tamil Nadu"/>
    <n v="85"/>
    <x v="1"/>
    <s v="Bookshelf"/>
    <n v="1799.6"/>
    <n v="6"/>
    <n v="1551.79"/>
    <s v="Cash"/>
    <n v="10797.599999999999"/>
    <n v="14.371619619174632"/>
    <s v="High"/>
  </r>
  <r>
    <s v="CUST1068"/>
    <x v="3"/>
    <s v="India"/>
    <s v="Karnataka"/>
    <n v="9304184751"/>
    <x v="1"/>
    <s v="Cupboard"/>
    <n v="1330.26"/>
    <n v="2"/>
    <n v="669.54"/>
    <s v="Credit Card"/>
    <n v="2660.52"/>
    <n v="25.165757070046457"/>
    <s v="Low"/>
  </r>
  <r>
    <s v="CUST1069"/>
    <x v="3"/>
    <s v="India"/>
    <s v="Rajasthan"/>
    <n v="9141039856"/>
    <x v="2"/>
    <s v="Smartphone"/>
    <n v="322.57"/>
    <n v="13"/>
    <n v="684.45"/>
    <s v="Debit Card"/>
    <n v="4193.41"/>
    <n v="16.322038627274701"/>
    <s v="Low"/>
  </r>
  <r>
    <s v="CUST1070"/>
    <x v="2"/>
    <s v="India"/>
    <s v="Tamil Nadu"/>
    <n v="9640589740"/>
    <x v="2"/>
    <s v="Tablet"/>
    <n v="1510.41"/>
    <n v="1"/>
    <n v="434.79"/>
    <s v="Net Banking"/>
    <n v="1510.41"/>
    <n v="28.786223608159371"/>
    <s v="Low"/>
  </r>
  <r>
    <s v="CUST1071"/>
    <x v="1"/>
    <s v="India"/>
    <s v="Karnataka"/>
    <n v="9406517796"/>
    <x v="0"/>
    <s v="Dress"/>
    <n v="1085.52"/>
    <n v="4"/>
    <n v="749.57"/>
    <s v="Credit Card"/>
    <n v="4342.08"/>
    <n v="17.262924681258752"/>
    <s v="Low"/>
  </r>
  <r>
    <s v="CUST1072"/>
    <x v="1"/>
    <s v="India"/>
    <s v="Maharashtra"/>
    <n v="9606169051"/>
    <x v="1"/>
    <s v="Table"/>
    <n v="1441.79"/>
    <n v="14"/>
    <n v="3929.03"/>
    <s v="Debit Card"/>
    <n v="20185.059999999998"/>
    <n v="19.465039985018624"/>
    <s v="High"/>
  </r>
  <r>
    <s v="CUST1073"/>
    <x v="3"/>
    <s v="India"/>
    <s v="Rajasthan"/>
    <n v="9350461925"/>
    <x v="1"/>
    <s v="Cupboard"/>
    <n v="686.64"/>
    <n v="8"/>
    <n v="878.07"/>
    <s v="Credit Card"/>
    <n v="5493.12"/>
    <n v="15.984904753582665"/>
    <s v="Medium"/>
  </r>
  <r>
    <s v="CUST1074"/>
    <x v="0"/>
    <s v="India"/>
    <s v="West Bengal"/>
    <n v="9996467468"/>
    <x v="0"/>
    <s v="Dress"/>
    <n v="2830.64"/>
    <n v="6"/>
    <n v="1830.75"/>
    <s v="Credit Card"/>
    <n v="16983.84"/>
    <n v="10.779364384026227"/>
    <s v="High"/>
  </r>
  <r>
    <s v="CUST1075"/>
    <x v="0"/>
    <s v="India"/>
    <s v="Rajasthan"/>
    <n v="9128345710"/>
    <x v="2"/>
    <s v="Headphones"/>
    <n v="2619.08"/>
    <n v="6"/>
    <n v="4245.2299999999996"/>
    <s v="Net Banking"/>
    <n v="15714.48"/>
    <n v="27.014765999256735"/>
    <s v="High"/>
  </r>
  <r>
    <s v="CUST1076"/>
    <x v="2"/>
    <s v="India"/>
    <s v="Gujarat"/>
    <n v="9392055351"/>
    <x v="0"/>
    <s v="Jeans"/>
    <n v="503.93"/>
    <n v="11"/>
    <n v="1183.48"/>
    <s v="Cash"/>
    <n v="5543.2300000000005"/>
    <n v="21.35000712580932"/>
    <s v="Medium"/>
  </r>
  <r>
    <s v="CUST1077"/>
    <x v="1"/>
    <s v="India"/>
    <s v="Tamil Nadu"/>
    <n v="9980141994"/>
    <x v="1"/>
    <s v="Bookshelf"/>
    <n v="467.71"/>
    <n v="12"/>
    <n v="1223.23"/>
    <s v="Credit Card"/>
    <n v="5612.5199999999995"/>
    <n v="21.794666210543571"/>
    <s v="Medium"/>
  </r>
  <r>
    <s v="CUST1078"/>
    <x v="0"/>
    <s v="India"/>
    <s v="Maharashtra"/>
    <n v="9403999543"/>
    <x v="1"/>
    <s v="Chair"/>
    <n v="2307.34"/>
    <n v="14"/>
    <n v="3571.15"/>
    <s v="Debit Card"/>
    <n v="32302.760000000002"/>
    <n v="11.055247291562702"/>
    <s v="High"/>
  </r>
  <r>
    <s v="CUST1079"/>
    <x v="3"/>
    <s v="India"/>
    <s v="Uttar Pradesh"/>
    <n v="9164427200"/>
    <x v="2"/>
    <s v="Tablet"/>
    <n v="1513.57"/>
    <n v="14"/>
    <n v="5761.18"/>
    <s v="Credit Card"/>
    <n v="21189.98"/>
    <n v="27.188227643442797"/>
    <s v="High"/>
  </r>
  <r>
    <s v="CUST1080"/>
    <x v="3"/>
    <s v="India"/>
    <s v="Maharashtra"/>
    <n v="858947"/>
    <x v="1"/>
    <s v="Cupboard"/>
    <n v="2213.4499999999998"/>
    <n v="3"/>
    <n v="867.33"/>
    <s v="Debit Card"/>
    <n v="6640.3499999999995"/>
    <n v="13.06151031195645"/>
    <s v="Medium"/>
  </r>
  <r>
    <s v="CUST1081"/>
    <x v="1"/>
    <s v="India"/>
    <s v="Tamil Nadu"/>
    <n v="9789825611"/>
    <x v="0"/>
    <s v="Dress"/>
    <n v="384.21"/>
    <n v="5"/>
    <n v="354.16"/>
    <s v="Debit Card"/>
    <n v="1921.05"/>
    <n v="18.435751281851072"/>
    <s v="Low"/>
  </r>
  <r>
    <s v="CUST1082"/>
    <x v="2"/>
    <s v="India"/>
    <s v="Maharashtra"/>
    <n v="9371462183"/>
    <x v="2"/>
    <s v="Headphones"/>
    <n v="498.41"/>
    <n v="7"/>
    <n v="435.36"/>
    <s v="UPI"/>
    <n v="3488.8700000000003"/>
    <n v="12.478538896548166"/>
    <s v="Low"/>
  </r>
  <r>
    <s v="CUST1083"/>
    <x v="3"/>
    <s v="India"/>
    <s v="Maharashtra"/>
    <n v="9444893207"/>
    <x v="0"/>
    <s v="Dress"/>
    <n v="1599.24"/>
    <n v="10"/>
    <n v="4368.75"/>
    <s v="UPI"/>
    <n v="15992.4"/>
    <n v="27.317663390110305"/>
    <s v="High"/>
  </r>
  <r>
    <s v="CUST1084"/>
    <x v="0"/>
    <s v="India"/>
    <s v="Rajasthan"/>
    <n v="9339358166"/>
    <x v="1"/>
    <s v="Sofa"/>
    <n v="962.07"/>
    <n v="9"/>
    <n v="905.89"/>
    <s v="UPI"/>
    <n v="8658.630000000001"/>
    <n v="10.462278674570918"/>
    <s v="Medium"/>
  </r>
  <r>
    <s v="CUST1085"/>
    <x v="0"/>
    <s v="India"/>
    <s v="West Bengal"/>
    <n v="9119201960"/>
    <x v="1"/>
    <s v="Bookshelf"/>
    <n v="1673.22"/>
    <n v="7"/>
    <n v="1935.04"/>
    <s v="Debit Card"/>
    <n v="11712.54"/>
    <n v="16.521096192627731"/>
    <s v="High"/>
  </r>
  <r>
    <s v="CUST1086"/>
    <x v="0"/>
    <s v="India"/>
    <s v="Tamil Nadu"/>
    <n v="9161700373"/>
    <x v="0"/>
    <s v="T-shirt"/>
    <n v="791.24"/>
    <n v="4"/>
    <n v="366.17"/>
    <s v="UPI"/>
    <n v="3164.96"/>
    <n v="11.569498508669936"/>
    <s v="Low"/>
  </r>
  <r>
    <s v="CUST1087"/>
    <x v="1"/>
    <s v="India"/>
    <s v="Uttar Pradesh"/>
    <n v="9242580997"/>
    <x v="0"/>
    <s v="Jeans"/>
    <n v="1210.8599999999999"/>
    <n v="3"/>
    <n v="698.75"/>
    <s v="UPI"/>
    <n v="3632.58"/>
    <n v="19.235639683090255"/>
    <s v="Low"/>
  </r>
  <r>
    <s v="CUST1088"/>
    <x v="3"/>
    <s v="India"/>
    <s v="Gujarat"/>
    <n v="9370714466"/>
    <x v="0"/>
    <s v="T-shirt"/>
    <n v="619.57000000000005"/>
    <n v="7"/>
    <n v="562.75"/>
    <s v="UPI"/>
    <n v="4336.9900000000007"/>
    <n v="12.975589060615771"/>
    <s v="Low"/>
  </r>
  <r>
    <s v="CUST1089"/>
    <x v="0"/>
    <s v="India"/>
    <s v="Maharashtra"/>
    <n v="9427647839"/>
    <x v="2"/>
    <s v="Monitor"/>
    <n v="308.5"/>
    <n v="15"/>
    <n v="802.96"/>
    <s v="Credit Card"/>
    <n v="4627.5"/>
    <n v="17.351917882225827"/>
    <s v="Low"/>
  </r>
  <r>
    <s v="CUST1090"/>
    <x v="2"/>
    <s v="India"/>
    <s v="Maharashtra"/>
    <n v="9942075195"/>
    <x v="0"/>
    <s v="Dress"/>
    <n v="1853.37"/>
    <n v="5"/>
    <n v="1661.2"/>
    <s v="Credit Card"/>
    <n v="9266.8499999999985"/>
    <n v="17.92626404873285"/>
    <s v="Medium"/>
  </r>
  <r>
    <s v="CUST1091"/>
    <x v="1"/>
    <s v="India"/>
    <s v="Rajasthan"/>
    <n v="9857569233"/>
    <x v="0"/>
    <s v="Jacket"/>
    <n v="2501.48"/>
    <n v="6"/>
    <n v="4142.5200000000004"/>
    <s v="Net Banking"/>
    <n v="15008.880000000001"/>
    <n v="27.600460527367797"/>
    <s v="High"/>
  </r>
  <r>
    <s v="CUST1092"/>
    <x v="1"/>
    <s v="India"/>
    <s v="Karnataka"/>
    <n v="9944969047"/>
    <x v="2"/>
    <s v="Laptop"/>
    <n v="2596.13"/>
    <n v="5"/>
    <n v="1453.33"/>
    <s v="Net Banking"/>
    <n v="12980.650000000001"/>
    <n v="11.196126542199348"/>
    <s v="High"/>
  </r>
  <r>
    <s v="CUST1093"/>
    <x v="0"/>
    <s v="India"/>
    <s v="West Bengal"/>
    <n v="56428436"/>
    <x v="2"/>
    <s v="Headphones"/>
    <n v="2209.52"/>
    <n v="6"/>
    <n v="3760.49"/>
    <s v="Net Banking"/>
    <n v="13257.119999999999"/>
    <n v="28.365813992782744"/>
    <s v="High"/>
  </r>
  <r>
    <s v="CUST1094"/>
    <x v="2"/>
    <s v="India"/>
    <s v="Gujarat"/>
    <n v="9705241364"/>
    <x v="1"/>
    <s v="Sofa"/>
    <n v="458.7"/>
    <n v="7"/>
    <n v="839.97"/>
    <s v="Net Banking"/>
    <n v="3210.9"/>
    <n v="26.159955152760912"/>
    <s v="Low"/>
  </r>
  <r>
    <s v="CUST1095"/>
    <x v="2"/>
    <s v="India"/>
    <s v="Karnataka"/>
    <n v="9245776255"/>
    <x v="0"/>
    <s v="Jeans"/>
    <n v="833.16"/>
    <n v="12"/>
    <n v="2135.63"/>
    <s v="Net Banking"/>
    <n v="9997.92"/>
    <n v="21.360743034551188"/>
    <s v="Medium"/>
  </r>
  <r>
    <s v="CUST1096"/>
    <x v="2"/>
    <s v="India"/>
    <s v="Uttar Pradesh"/>
    <n v="9881212856"/>
    <x v="0"/>
    <s v="Jeans"/>
    <n v="238.37"/>
    <n v="13"/>
    <n v="586.94000000000005"/>
    <s v="Net Banking"/>
    <n v="3098.81"/>
    <n v="18.940819217699701"/>
    <s v="Low"/>
  </r>
  <r>
    <s v="CUST1097"/>
    <x v="0"/>
    <s v="India"/>
    <s v="Gujarat"/>
    <n v="9916091858"/>
    <x v="0"/>
    <s v="Dress"/>
    <n v="820.05"/>
    <n v="3"/>
    <n v="419.41"/>
    <s v="UPI"/>
    <n v="2460.1499999999996"/>
    <n v="17.048147470682686"/>
    <s v="Low"/>
  </r>
  <r>
    <s v="CUST1098"/>
    <x v="3"/>
    <s v="India"/>
    <s v="Karnataka"/>
    <n v="9425191872"/>
    <x v="2"/>
    <s v="Headphones"/>
    <n v="2716.33"/>
    <n v="8"/>
    <n v="5513.14"/>
    <s v="Net Banking"/>
    <n v="21730.639999999999"/>
    <n v="25.370352644929007"/>
    <s v="High"/>
  </r>
  <r>
    <s v="CUST1099"/>
    <x v="3"/>
    <s v="India"/>
    <s v="Uttar Pradesh"/>
    <n v="9459337548"/>
    <x v="0"/>
    <s v="Jacket"/>
    <n v="1918.81"/>
    <n v="1"/>
    <n v="442.75"/>
    <s v="Cash"/>
    <n v="1918.81"/>
    <n v="23.074197028366541"/>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110627-C4B5-4F77-B9A5-37B67CDDDF9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idents by Severity">
  <location ref="M4:O9" firstHeaderRow="0"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pivotField showAll="0"/>
    <pivotField showAll="0"/>
    <pivotField axis="axisRow" showAll="0">
      <items count="5">
        <item x="1"/>
        <item x="2"/>
        <item x="0"/>
        <item x="3"/>
        <item t="default"/>
      </items>
    </pivotField>
    <pivotField showAll="0"/>
    <pivotField dataField="1" showAll="0"/>
  </pivotFields>
  <rowFields count="1">
    <field x="7"/>
  </rowFields>
  <rowItems count="5">
    <i>
      <x/>
    </i>
    <i>
      <x v="1"/>
    </i>
    <i>
      <x v="2"/>
    </i>
    <i>
      <x v="3"/>
    </i>
    <i t="grand">
      <x/>
    </i>
  </rowItems>
  <colFields count="1">
    <field x="-2"/>
  </colFields>
  <colItems count="2">
    <i>
      <x/>
    </i>
    <i i="1">
      <x v="1"/>
    </i>
  </colItems>
  <dataFields count="2">
    <dataField name="Total Accident" fld="0" subtotal="count" baseField="7" baseItem="0"/>
    <dataField name="Total Casualties" fld="9"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D64D96-0A75-4712-ADC2-297E248AAAE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idents by Severity">
  <location ref="M27:N36"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axis="axisRow" showAll="0">
      <items count="9">
        <item x="5"/>
        <item x="3"/>
        <item x="6"/>
        <item x="4"/>
        <item x="0"/>
        <item x="7"/>
        <item x="1"/>
        <item x="2"/>
        <item t="default"/>
      </items>
    </pivotField>
    <pivotField showAll="0"/>
    <pivotField showAll="0">
      <items count="7">
        <item x="0"/>
        <item x="1"/>
        <item x="5"/>
        <item x="3"/>
        <item x="4"/>
        <item x="2"/>
        <item t="default"/>
      </items>
    </pivotField>
    <pivotField showAll="0">
      <items count="5">
        <item x="0"/>
        <item x="1"/>
        <item x="3"/>
        <item x="2"/>
        <item t="default"/>
      </items>
    </pivotField>
    <pivotField showAll="0">
      <items count="5">
        <item sd="0" x="1"/>
        <item sd="0" x="0"/>
        <item sd="0" x="2"/>
        <item sd="0" x="3"/>
        <item t="default"/>
      </items>
    </pivotField>
    <pivotField showAll="0">
      <items count="5">
        <item x="1"/>
        <item x="2"/>
        <item x="0"/>
        <item x="3"/>
        <item t="default"/>
      </items>
    </pivotField>
    <pivotField showAll="0">
      <items count="7">
        <item x="2"/>
        <item x="1"/>
        <item x="4"/>
        <item x="0"/>
        <item x="5"/>
        <item x="3"/>
        <item t="default"/>
      </items>
    </pivotField>
    <pivotField showAll="0"/>
  </pivotFields>
  <rowFields count="1">
    <field x="2"/>
  </rowFields>
  <rowItems count="9">
    <i>
      <x/>
    </i>
    <i>
      <x v="1"/>
    </i>
    <i>
      <x v="2"/>
    </i>
    <i>
      <x v="3"/>
    </i>
    <i>
      <x v="4"/>
    </i>
    <i>
      <x v="5"/>
    </i>
    <i>
      <x v="6"/>
    </i>
    <i>
      <x v="7"/>
    </i>
    <i t="grand">
      <x/>
    </i>
  </rowItems>
  <colItems count="1">
    <i/>
  </colItems>
  <dataFields count="1">
    <dataField name="Total Accident"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12A65-20C8-486E-9019-35834C7966B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idents by Road Condition And Reason">
  <location ref="M20:P25" firstHeaderRow="0"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showAll="0">
      <items count="7">
        <item x="0"/>
        <item x="1"/>
        <item x="5"/>
        <item x="3"/>
        <item x="4"/>
        <item x="2"/>
        <item t="default"/>
      </items>
    </pivotField>
    <pivotField showAll="0">
      <items count="5">
        <item x="0"/>
        <item x="1"/>
        <item x="3"/>
        <item x="2"/>
        <item t="default"/>
      </items>
    </pivotField>
    <pivotField axis="axisRow" showAll="0">
      <items count="5">
        <item sd="0" x="1"/>
        <item sd="0" x="0"/>
        <item sd="0" x="2"/>
        <item sd="0" x="3"/>
        <item t="default"/>
      </items>
    </pivotField>
    <pivotField dataField="1" showAll="0">
      <items count="5">
        <item x="1"/>
        <item x="2"/>
        <item x="0"/>
        <item x="3"/>
        <item t="default"/>
      </items>
    </pivotField>
    <pivotField axis="axisRow" showAll="0">
      <items count="7">
        <item x="2"/>
        <item x="1"/>
        <item x="4"/>
        <item x="0"/>
        <item x="5"/>
        <item x="3"/>
        <item t="default"/>
      </items>
    </pivotField>
    <pivotField dataField="1" showAll="0"/>
  </pivotFields>
  <rowFields count="2">
    <field x="6"/>
    <field x="8"/>
  </rowFields>
  <rowItems count="5">
    <i>
      <x/>
    </i>
    <i>
      <x v="1"/>
    </i>
    <i>
      <x v="2"/>
    </i>
    <i>
      <x v="3"/>
    </i>
    <i t="grand">
      <x/>
    </i>
  </rowItems>
  <colFields count="1">
    <field x="-2"/>
  </colFields>
  <colItems count="3">
    <i>
      <x/>
    </i>
    <i i="1">
      <x v="1"/>
    </i>
    <i i="2">
      <x v="2"/>
    </i>
  </colItems>
  <dataFields count="3">
    <dataField name="Total Accident" fld="0" subtotal="count" baseField="6" baseItem="0"/>
    <dataField name="Total Severity" fld="7" subtotal="count" baseField="6" baseItem="0"/>
    <dataField name="Total Casualties" fld="9"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9FE973-C780-4EF5-A42A-2EDB229E95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ccidents by Vechicle">
  <location ref="M11:N18" firstHeaderRow="1" firstDataRow="1" firstDataCol="1"/>
  <pivotFields count="10">
    <pivotField dataField="1"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umFmtId="14" showAll="0"/>
    <pivotField showAll="0"/>
    <pivotField showAll="0"/>
    <pivotField axis="axisRow" showAll="0">
      <items count="7">
        <item x="0"/>
        <item x="1"/>
        <item x="5"/>
        <item x="3"/>
        <item x="4"/>
        <item x="2"/>
        <item t="default"/>
      </items>
    </pivotField>
    <pivotField showAll="0"/>
    <pivotField showAll="0"/>
    <pivotField showAll="0">
      <items count="5">
        <item x="1"/>
        <item x="2"/>
        <item x="0"/>
        <item x="3"/>
        <item t="default"/>
      </items>
    </pivotField>
    <pivotField showAll="0"/>
    <pivotField showAll="0"/>
  </pivotFields>
  <rowFields count="1">
    <field x="4"/>
  </rowFields>
  <rowItems count="7">
    <i>
      <x/>
    </i>
    <i>
      <x v="1"/>
    </i>
    <i>
      <x v="2"/>
    </i>
    <i>
      <x v="3"/>
    </i>
    <i>
      <x v="4"/>
    </i>
    <i>
      <x v="5"/>
    </i>
    <i t="grand">
      <x/>
    </i>
  </rowItems>
  <colItems count="1">
    <i/>
  </colItems>
  <dataFields count="1">
    <dataField name="Total Accident"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584650-64E7-4F9A-82A0-D873287E7737}"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2:B16" firstHeaderRow="1" firstDataRow="1" firstDataCol="1"/>
  <pivotFields count="14">
    <pivotField showAll="0"/>
    <pivotField showAll="0">
      <items count="5">
        <item x="2"/>
        <item x="3"/>
        <item x="1"/>
        <item x="0"/>
        <item t="default"/>
      </items>
    </pivotField>
    <pivotField showAll="0"/>
    <pivotField showAll="0"/>
    <pivotField showAll="0"/>
    <pivotField axis="axisRow" showAll="0">
      <items count="4">
        <item x="0"/>
        <item x="2"/>
        <item x="1"/>
        <item t="default"/>
      </items>
    </pivotField>
    <pivotField showAll="0"/>
    <pivotField showAll="0"/>
    <pivotField dataField="1" showAll="0"/>
    <pivotField showAll="0"/>
    <pivotField showAll="0"/>
    <pivotField showAll="0"/>
    <pivotField numFmtId="2" showAll="0"/>
    <pivotField showAll="0"/>
  </pivotFields>
  <rowFields count="1">
    <field x="5"/>
  </rowFields>
  <rowItems count="4">
    <i>
      <x/>
    </i>
    <i>
      <x v="1"/>
    </i>
    <i>
      <x v="2"/>
    </i>
    <i t="grand">
      <x/>
    </i>
  </rowItems>
  <colItems count="1">
    <i/>
  </colItems>
  <dataFields count="1">
    <dataField name="Average Units Sold" fld="8" subtotal="average" baseField="5" baseItem="0"/>
  </dataField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C00543-9CF4-4ECB-9241-1515A9CF3683}"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BY DATA">
  <location ref="A5:C10" firstHeaderRow="0" firstDataRow="1" firstDataCol="1"/>
  <pivotFields count="14">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dataField="1" showAll="0"/>
    <pivotField dataField="1" numFmtId="2" showAll="0"/>
    <pivotField showAll="0"/>
  </pivotFields>
  <rowFields count="1">
    <field x="1"/>
  </rowFields>
  <rowItems count="5">
    <i>
      <x/>
    </i>
    <i>
      <x v="1"/>
    </i>
    <i>
      <x v="2"/>
    </i>
    <i>
      <x v="3"/>
    </i>
    <i t="grand">
      <x/>
    </i>
  </rowItems>
  <colFields count="1">
    <field x="-2"/>
  </colFields>
  <colItems count="2">
    <i>
      <x/>
    </i>
    <i i="1">
      <x v="1"/>
    </i>
  </colItems>
  <dataFields count="2">
    <dataField name="Total Revenue" fld="11" baseField="1" baseItem="0"/>
    <dataField name="Total Profit %" fld="12" baseField="1" baseItem="0" numFmtId="2"/>
  </dataField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D02F55-0FC4-44BC-9473-1E6A15D691A2}" autoFormatId="16" applyNumberFormats="0" applyBorderFormats="0" applyFontFormats="0" applyPatternFormats="0" applyAlignmentFormats="0" applyWidthHeightFormats="0">
  <queryTableRefresh nextId="11">
    <queryTableFields count="10">
      <queryTableField id="1" name="Accident ID" tableColumnId="1"/>
      <queryTableField id="2" name="Date" tableColumnId="2"/>
      <queryTableField id="3" name="Location" tableColumnId="3"/>
      <queryTableField id="4" name="Accident Type" tableColumnId="4"/>
      <queryTableField id="5" name="Vehicle Type" tableColumnId="5"/>
      <queryTableField id="6" name="Weather Condition" tableColumnId="6"/>
      <queryTableField id="7" name="Road Condition" tableColumnId="7"/>
      <queryTableField id="8" name="Severity" tableColumnId="8"/>
      <queryTableField id="9" name="Cause" tableColumnId="9"/>
      <queryTableField id="10" name="Casualtie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19A4037E-BC50-44D0-B2A8-D2E39CF5E0BB}" autoFormatId="16" applyNumberFormats="0" applyBorderFormats="0" applyFontFormats="0" applyPatternFormats="0" applyAlignmentFormats="0" applyWidthHeightFormats="0">
  <queryTableRefresh nextId="14">
    <queryTableFields count="13">
      <queryTableField id="1" name="Order ID" tableColumnId="1"/>
      <queryTableField id="2" name="Date" tableColumnId="2"/>
      <queryTableField id="3" name="Customer Name" tableColumnId="3"/>
      <queryTableField id="4" name="Region" tableColumnId="4"/>
      <queryTableField id="5" name="Product Category" tableColumnId="5"/>
      <queryTableField id="6" name="Product Name" tableColumnId="6"/>
      <queryTableField id="7" name="Quantity" tableColumnId="7"/>
      <queryTableField id="8" name="Unit Price (?)" tableColumnId="8"/>
      <queryTableField id="9" name="Total Sales (?)" tableColumnId="9"/>
      <queryTableField id="10" name="Profit Margin (%)" tableColumnId="10"/>
      <queryTableField id="11" name="Customer Age" tableColumnId="11"/>
      <queryTableField id="12" name="Payment Mode" tableColumnId="12"/>
      <queryTableField id="13" name="Column13"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02008557-181A-4645-A63B-453310140D16}" autoFormatId="16" applyNumberFormats="0" applyBorderFormats="0" applyFontFormats="0" applyPatternFormats="0" applyAlignmentFormats="0" applyWidthHeightFormats="0">
  <queryTableRefresh nextId="16" unboundColumnsRight="1">
    <queryTableFields count="14">
      <queryTableField id="1" name="Customer ID" tableColumnId="1"/>
      <queryTableField id="2" name="Region" tableColumnId="2"/>
      <queryTableField id="3" name="Country" tableColumnId="3"/>
      <queryTableField id="4" name="State" tableColumnId="4"/>
      <queryTableField id="5" name="Phone Number" tableColumnId="5"/>
      <queryTableField id="6" name="Category" tableColumnId="6"/>
      <queryTableField id="7" name="Product" tableColumnId="7"/>
      <queryTableField id="8" name="Price" tableColumnId="8"/>
      <queryTableField id="9" name="Units Sold" tableColumnId="9"/>
      <queryTableField id="10" name="Profit" tableColumnId="10"/>
      <queryTableField id="11" name="Mode of Payment" tableColumnId="11"/>
      <queryTableField id="12" name="Revenue" tableColumnId="12"/>
      <queryTableField id="14" name="Profit %" tableColumnId="14"/>
      <queryTableField id="15" dataBound="0" tableColumnId="15"/>
    </queryTableFields>
    <queryTableDeletedFields count="1">
      <deletedField name="Revenue Label"/>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C61E3302-E5AF-4D24-9EE1-900244C4065E}" sourceName="Date">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2B67488-7638-48F8-8B64-EC23367F76FD}" sourceName="Locat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9C528B6-C7BF-4FC6-AAD2-335467E84D44}" cache="Slicer_Date" caption="Date" columnCount="2" rowHeight="241300"/>
  <slicer name="Location" xr10:uid="{FD8F82F1-E712-4B16-AFDF-261CB13792CE}" cache="Slicer_Location" caption="Location" columnCount="2"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553695-8314-44B0-8AA1-EF87868C4D5A}" name="Road_Accident_Dataset_100_Rows" displayName="Road_Accident_Dataset_100_Rows" ref="B6:K106" tableType="queryTable" totalsRowShown="0" headerRowDxfId="34" dataDxfId="33">
  <autoFilter ref="B6:K106" xr:uid="{90553695-8314-44B0-8AA1-EF87868C4D5A}"/>
  <tableColumns count="10">
    <tableColumn id="1" xr3:uid="{11C386D8-F0B2-45C4-A741-0631012F59B2}" uniqueName="1" name="Accident ID" queryTableFieldId="1" dataDxfId="32"/>
    <tableColumn id="2" xr3:uid="{01B2CC46-D2A4-4B1D-9F6E-C9F52F35AC81}" uniqueName="2" name="Date" queryTableFieldId="2" dataDxfId="31"/>
    <tableColumn id="3" xr3:uid="{D9F9C382-DC61-42DB-9C89-6298E768F1C4}" uniqueName="3" name="Location" queryTableFieldId="3" dataDxfId="30"/>
    <tableColumn id="4" xr3:uid="{465363BD-3AD7-427F-882A-3686E9F87B38}" uniqueName="4" name="Accident Type" queryTableFieldId="4" dataDxfId="29"/>
    <tableColumn id="5" xr3:uid="{E23F9CE4-C565-460A-ACF4-9C3DD827D477}" uniqueName="5" name="Vehicle Type" queryTableFieldId="5" dataDxfId="28"/>
    <tableColumn id="6" xr3:uid="{00622554-483D-4539-ADDA-32E5B286E6D1}" uniqueName="6" name="Weather Condition" queryTableFieldId="6" dataDxfId="27"/>
    <tableColumn id="7" xr3:uid="{CBE38768-410D-4852-934F-0E021ADF72DF}" uniqueName="7" name="Road Condition" queryTableFieldId="7" dataDxfId="26"/>
    <tableColumn id="8" xr3:uid="{5DC92ED5-BB43-42E3-9CF9-35F33B503651}" uniqueName="8" name="Severity" queryTableFieldId="8" dataDxfId="25"/>
    <tableColumn id="9" xr3:uid="{7D6C7B6D-A1EE-4711-89E0-CBAFCC834E14}" uniqueName="9" name="Cause" queryTableFieldId="9" dataDxfId="24"/>
    <tableColumn id="10" xr3:uid="{75A8263A-EB27-4353-8881-526CE5340DAF}" uniqueName="10" name="Casualties" queryTableFieldId="10"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F5A68A-64CF-4A49-A7AE-A8ED9484561F}" name="Sheet1" displayName="Sheet1" ref="A5:M1004" tableType="queryTable" totalsRowShown="0">
  <tableColumns count="13">
    <tableColumn id="1" xr3:uid="{4188C650-911C-4A47-9E5F-8138473A99C8}" uniqueName="1" name="Order ID" queryTableFieldId="1"/>
    <tableColumn id="2" xr3:uid="{936B23E4-FC21-48C1-8798-F97F30861086}" uniqueName="2" name="Date" queryTableFieldId="2" dataDxfId="22"/>
    <tableColumn id="3" xr3:uid="{1F7E4607-9DEF-4D0C-A084-199E5BC886A7}" uniqueName="3" name="Customer Name" queryTableFieldId="3" dataDxfId="21"/>
    <tableColumn id="4" xr3:uid="{938213D2-1C25-493A-968D-AA8E94570FEC}" uniqueName="4" name="Region" queryTableFieldId="4" dataDxfId="20"/>
    <tableColumn id="5" xr3:uid="{3CB4D9E6-6AFB-45EE-A359-878623FDF415}" uniqueName="5" name="Product Category" queryTableFieldId="5" dataDxfId="19"/>
    <tableColumn id="6" xr3:uid="{3F45D025-B7DC-4D4F-B712-D972B2F4FAB9}" uniqueName="6" name="Product Name" queryTableFieldId="6" dataDxfId="18"/>
    <tableColumn id="7" xr3:uid="{E43753E3-336A-4F13-B53D-A610970104A1}" uniqueName="7" name="Quantity" queryTableFieldId="7"/>
    <tableColumn id="8" xr3:uid="{CCB043B5-3FAF-4B50-99A3-D3B6CFE22638}" uniqueName="8" name="Unit Price (?)" queryTableFieldId="8"/>
    <tableColumn id="9" xr3:uid="{41BB75BD-2874-4C31-9A0C-BA175FB2E123}" uniqueName="9" name="Total Sales (?)" queryTableFieldId="9"/>
    <tableColumn id="10" xr3:uid="{07CA7791-5707-4AC0-9447-DFDD9F66515F}" uniqueName="10" name="Profit Margin (%)" queryTableFieldId="10"/>
    <tableColumn id="11" xr3:uid="{C9DB4859-0725-4E01-B157-A816BFA4003B}" uniqueName="11" name="Customer Age" queryTableFieldId="11"/>
    <tableColumn id="12" xr3:uid="{309D2B81-618B-43FA-830E-7FC45E222A66}" uniqueName="12" name="Payment Mode" queryTableFieldId="12" dataDxfId="17"/>
    <tableColumn id="13" xr3:uid="{157B65B8-9FAB-46F5-B1D8-B51A92629776}" uniqueName="13" name="DropDown" queryTableField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FA8085-3740-4390-88E9-FDA5165B74E2}" name="Sales_department" displayName="Sales_department" ref="A11:N111" tableType="queryTable" totalsRowShown="0" headerRowDxfId="8">
  <tableColumns count="14">
    <tableColumn id="1" xr3:uid="{6188C045-CBDC-4237-AB09-55731EA38FA8}" uniqueName="1" name="Customer ID" queryTableFieldId="1" dataDxfId="16"/>
    <tableColumn id="2" xr3:uid="{7F611B32-2CAD-4BD9-9A32-69BF2F438B41}" uniqueName="2" name="Region" queryTableFieldId="2" dataDxfId="15"/>
    <tableColumn id="3" xr3:uid="{D8B156CD-368C-41D6-A68B-F443F25CE454}" uniqueName="3" name="Country" queryTableFieldId="3" dataDxfId="14"/>
    <tableColumn id="4" xr3:uid="{EB29B2CC-9402-4FED-8A03-9EFB8E6AEA36}" uniqueName="4" name="State" queryTableFieldId="4" dataDxfId="11"/>
    <tableColumn id="5" xr3:uid="{0B0710F2-C30B-4FB1-8DA9-784775C632F3}" uniqueName="5" name="Phone Number" queryTableFieldId="5" dataDxfId="9"/>
    <tableColumn id="6" xr3:uid="{0A48997F-F6B0-40B7-9659-3F09EE7AD584}" uniqueName="6" name="Category" queryTableFieldId="6" dataDxfId="10"/>
    <tableColumn id="7" xr3:uid="{093597CD-23AE-4AAD-92FF-ECD7C8306A53}" uniqueName="7" name="Product" queryTableFieldId="7" dataDxfId="13"/>
    <tableColumn id="8" xr3:uid="{B06E6123-0F32-4BFA-9C3A-6840B3E4FBFE}" uniqueName="8" name="Price" queryTableFieldId="8"/>
    <tableColumn id="9" xr3:uid="{FBE386B9-D5BC-4CA1-8271-0C236AF607B8}" uniqueName="9" name="Units Sold" queryTableFieldId="9"/>
    <tableColumn id="10" xr3:uid="{2D0D6504-A73F-4203-B2D7-3F71652D18DC}" uniqueName="10" name="Profit" queryTableFieldId="10"/>
    <tableColumn id="11" xr3:uid="{74B54DB4-5D01-4117-AF15-C190E6702BEC}" uniqueName="11" name="Mode of Payment" queryTableFieldId="11" dataDxfId="12"/>
    <tableColumn id="12" xr3:uid="{98DEE14B-C1FF-4218-B9BB-A81F4377110F}" uniqueName="12" name="Revenue" queryTableFieldId="12"/>
    <tableColumn id="14" xr3:uid="{36524FDD-E8DF-4CF3-81DB-CEB147D3C4E9}" uniqueName="14" name="Profit %" queryTableFieldId="14" dataDxfId="6"/>
    <tableColumn id="15" xr3:uid="{B0816FF3-4C77-4C8F-9CE9-1926F3045E78}" uniqueName="15" name="Label" queryTableFieldId="15" dataDxfId="7">
      <calculatedColumnFormula>IF(Sales_department[[#This Row],[Revenue]]&gt;10000,"High",IF(Sales_department[[#This Row],[Revenue]]&gt;5000,"Medium","Low"))</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1564-88F2-48F4-9522-61C917225B01}">
  <sheetPr codeName="Sheet1"/>
  <dimension ref="A1:E39"/>
  <sheetViews>
    <sheetView topLeftCell="A4" workbookViewId="0">
      <selection activeCell="H1" sqref="H1"/>
    </sheetView>
  </sheetViews>
  <sheetFormatPr defaultRowHeight="15" x14ac:dyDescent="0.25"/>
  <cols>
    <col min="1" max="1" width="12.7109375" customWidth="1"/>
    <col min="2" max="2" width="20.5703125" customWidth="1"/>
    <col min="3" max="3" width="13" customWidth="1"/>
    <col min="4" max="4" width="19.42578125" customWidth="1"/>
    <col min="5" max="5" width="20.7109375" customWidth="1"/>
    <col min="8" max="8" width="59.5703125" bestFit="1" customWidth="1"/>
  </cols>
  <sheetData>
    <row r="1" spans="1:4" ht="46.5" x14ac:dyDescent="0.7">
      <c r="D1" s="1" t="s">
        <v>0</v>
      </c>
    </row>
    <row r="3" spans="1:4" ht="18.75" x14ac:dyDescent="0.3">
      <c r="A3" s="4" t="s">
        <v>6</v>
      </c>
    </row>
    <row r="4" spans="1:4" ht="18.75" x14ac:dyDescent="0.25">
      <c r="A4" s="3" t="s">
        <v>1</v>
      </c>
      <c r="B4" t="s">
        <v>2</v>
      </c>
    </row>
    <row r="5" spans="1:4" x14ac:dyDescent="0.25">
      <c r="B5" t="s">
        <v>3</v>
      </c>
    </row>
    <row r="6" spans="1:4" x14ac:dyDescent="0.25">
      <c r="B6" t="s">
        <v>4</v>
      </c>
    </row>
    <row r="9" spans="1:4" ht="18.75" x14ac:dyDescent="0.3">
      <c r="A9" s="4" t="s">
        <v>5</v>
      </c>
    </row>
    <row r="10" spans="1:4" ht="18.75" x14ac:dyDescent="0.3">
      <c r="A10" s="5" t="s">
        <v>7</v>
      </c>
      <c r="B10" t="s">
        <v>8</v>
      </c>
    </row>
    <row r="11" spans="1:4" x14ac:dyDescent="0.25">
      <c r="B11" t="s">
        <v>9</v>
      </c>
    </row>
    <row r="12" spans="1:4" x14ac:dyDescent="0.25">
      <c r="B12" t="s">
        <v>10</v>
      </c>
    </row>
    <row r="14" spans="1:4" ht="18.75" x14ac:dyDescent="0.3">
      <c r="A14" s="4" t="s">
        <v>11</v>
      </c>
    </row>
    <row r="15" spans="1:4" ht="18.75" x14ac:dyDescent="0.3">
      <c r="A15" s="4" t="s">
        <v>7</v>
      </c>
      <c r="B15" t="s">
        <v>16</v>
      </c>
    </row>
    <row r="16" spans="1:4" x14ac:dyDescent="0.25">
      <c r="B16" t="s">
        <v>12</v>
      </c>
    </row>
    <row r="17" spans="1:5" x14ac:dyDescent="0.25">
      <c r="B17" t="s">
        <v>13</v>
      </c>
    </row>
    <row r="18" spans="1:5" x14ac:dyDescent="0.25">
      <c r="B18" t="s">
        <v>14</v>
      </c>
    </row>
    <row r="19" spans="1:5" x14ac:dyDescent="0.25">
      <c r="B19" t="s">
        <v>15</v>
      </c>
    </row>
    <row r="21" spans="1:5" ht="18.75" x14ac:dyDescent="0.3">
      <c r="A21" s="4" t="s">
        <v>17</v>
      </c>
    </row>
    <row r="22" spans="1:5" ht="18.75" x14ac:dyDescent="0.3">
      <c r="A22" s="4" t="s">
        <v>7</v>
      </c>
      <c r="B22" t="s">
        <v>18</v>
      </c>
    </row>
    <row r="24" spans="1:5" ht="18.75" x14ac:dyDescent="0.3">
      <c r="A24" s="4" t="s">
        <v>19</v>
      </c>
    </row>
    <row r="25" spans="1:5" ht="18.75" x14ac:dyDescent="0.3">
      <c r="A25" s="4" t="s">
        <v>7</v>
      </c>
      <c r="B25" t="s">
        <v>20</v>
      </c>
    </row>
    <row r="26" spans="1:5" x14ac:dyDescent="0.25">
      <c r="B26" t="s">
        <v>21</v>
      </c>
    </row>
    <row r="27" spans="1:5" x14ac:dyDescent="0.25">
      <c r="B27" s="6" t="s">
        <v>22</v>
      </c>
    </row>
    <row r="29" spans="1:5" ht="18.75" x14ac:dyDescent="0.3">
      <c r="A29" s="4" t="s">
        <v>23</v>
      </c>
    </row>
    <row r="30" spans="1:5" ht="18.75" x14ac:dyDescent="0.3">
      <c r="A30" s="4" t="s">
        <v>24</v>
      </c>
    </row>
    <row r="31" spans="1:5" ht="15.75" x14ac:dyDescent="0.25">
      <c r="B31" s="11" t="s">
        <v>25</v>
      </c>
      <c r="C31" s="11" t="s">
        <v>26</v>
      </c>
      <c r="D31" s="11" t="s">
        <v>35</v>
      </c>
      <c r="E31" s="11" t="s">
        <v>36</v>
      </c>
    </row>
    <row r="32" spans="1:5" ht="15.75" x14ac:dyDescent="0.25">
      <c r="B32" s="8" t="s">
        <v>27</v>
      </c>
      <c r="C32" s="9">
        <v>43101</v>
      </c>
      <c r="D32" s="10">
        <f ca="1">DATEDIF(C32,TODAY(),"Y")</f>
        <v>8</v>
      </c>
      <c r="E32" s="10">
        <f ca="1">DATEDIF(C32,TODAY(),"YM")</f>
        <v>4</v>
      </c>
    </row>
    <row r="33" spans="2:5" ht="15.75" x14ac:dyDescent="0.25">
      <c r="B33" s="8" t="s">
        <v>28</v>
      </c>
      <c r="C33" s="9">
        <v>43539</v>
      </c>
      <c r="D33" s="10">
        <f t="shared" ref="D33:D39" ca="1" si="0">DATEDIF(C33,TODAY(),"Y")</f>
        <v>7</v>
      </c>
      <c r="E33" s="10">
        <f t="shared" ref="E33:E39" ca="1" si="1">DATEDIF(C33,TODAY(),"YM")</f>
        <v>1</v>
      </c>
    </row>
    <row r="34" spans="2:5" ht="15.75" x14ac:dyDescent="0.25">
      <c r="B34" s="8" t="s">
        <v>29</v>
      </c>
      <c r="C34" s="9">
        <v>44032</v>
      </c>
      <c r="D34" s="10">
        <f t="shared" ca="1" si="0"/>
        <v>5</v>
      </c>
      <c r="E34" s="10">
        <f t="shared" ca="1" si="1"/>
        <v>9</v>
      </c>
    </row>
    <row r="35" spans="2:5" ht="15.75" x14ac:dyDescent="0.25">
      <c r="B35" s="8" t="s">
        <v>30</v>
      </c>
      <c r="C35" s="9">
        <v>43018</v>
      </c>
      <c r="D35" s="10">
        <f t="shared" ca="1" si="0"/>
        <v>8</v>
      </c>
      <c r="E35" s="10">
        <f t="shared" ca="1" si="1"/>
        <v>6</v>
      </c>
    </row>
    <row r="36" spans="2:5" ht="15.75" x14ac:dyDescent="0.25">
      <c r="B36" s="8" t="s">
        <v>31</v>
      </c>
      <c r="C36" s="9">
        <v>44321</v>
      </c>
      <c r="D36" s="10">
        <f t="shared" ca="1" si="0"/>
        <v>4</v>
      </c>
      <c r="E36" s="10">
        <f t="shared" ca="1" si="1"/>
        <v>11</v>
      </c>
    </row>
    <row r="37" spans="2:5" ht="15.75" x14ac:dyDescent="0.25">
      <c r="B37" s="8" t="s">
        <v>32</v>
      </c>
      <c r="C37" s="9">
        <v>42600</v>
      </c>
      <c r="D37" s="10">
        <f t="shared" ca="1" si="0"/>
        <v>9</v>
      </c>
      <c r="E37" s="10">
        <f t="shared" ca="1" si="1"/>
        <v>8</v>
      </c>
    </row>
    <row r="38" spans="2:5" ht="15.75" x14ac:dyDescent="0.25">
      <c r="B38" s="8" t="s">
        <v>33</v>
      </c>
      <c r="C38" s="9">
        <v>43459</v>
      </c>
      <c r="D38" s="10">
        <f t="shared" ca="1" si="0"/>
        <v>7</v>
      </c>
      <c r="E38" s="10">
        <f t="shared" ca="1" si="1"/>
        <v>4</v>
      </c>
    </row>
    <row r="39" spans="2:5" ht="15.75" x14ac:dyDescent="0.25">
      <c r="B39" s="8" t="s">
        <v>34</v>
      </c>
      <c r="C39" s="9">
        <v>44742</v>
      </c>
      <c r="D39" s="10">
        <f t="shared" ca="1" si="0"/>
        <v>3</v>
      </c>
      <c r="E39" s="10">
        <f t="shared" ca="1" si="1"/>
        <v>10</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60D85-0596-47A7-B15D-0DDE47F7FA3E}">
  <sheetPr codeName="Sheet2"/>
  <dimension ref="A2:P106"/>
  <sheetViews>
    <sheetView workbookViewId="0">
      <selection activeCell="C4" sqref="C4"/>
    </sheetView>
  </sheetViews>
  <sheetFormatPr defaultRowHeight="15" x14ac:dyDescent="0.25"/>
  <cols>
    <col min="2" max="2" width="13.28515625" bestFit="1" customWidth="1"/>
    <col min="3" max="3" width="15.7109375" bestFit="1" customWidth="1"/>
    <col min="4" max="4" width="11.7109375" bestFit="1" customWidth="1"/>
    <col min="5" max="5" width="15.85546875" bestFit="1" customWidth="1"/>
    <col min="6" max="6" width="14.7109375" bestFit="1" customWidth="1"/>
    <col min="7" max="7" width="20.5703125" bestFit="1" customWidth="1"/>
    <col min="8" max="8" width="18.42578125" bestFit="1" customWidth="1"/>
    <col min="9" max="9" width="10.5703125" bestFit="1" customWidth="1"/>
    <col min="10" max="10" width="16.85546875" bestFit="1" customWidth="1"/>
    <col min="11" max="11" width="12.7109375" bestFit="1" customWidth="1"/>
    <col min="13" max="13" width="39.5703125" customWidth="1"/>
    <col min="14" max="14" width="13.7109375" bestFit="1" customWidth="1"/>
    <col min="15" max="16" width="15" bestFit="1" customWidth="1"/>
    <col min="17" max="20" width="16.28515625" bestFit="1" customWidth="1"/>
    <col min="21" max="21" width="20" bestFit="1" customWidth="1"/>
    <col min="22" max="22" width="19.5703125" bestFit="1" customWidth="1"/>
  </cols>
  <sheetData>
    <row r="2" spans="1:15" ht="20.25" thickBot="1" x14ac:dyDescent="0.35">
      <c r="A2" s="7" t="s">
        <v>184</v>
      </c>
      <c r="M2" s="2" t="s">
        <v>189</v>
      </c>
    </row>
    <row r="3" spans="1:15" ht="16.5" thickTop="1" x14ac:dyDescent="0.25">
      <c r="A3" s="7" t="s">
        <v>7</v>
      </c>
    </row>
    <row r="4" spans="1:15" ht="15.75" x14ac:dyDescent="0.25">
      <c r="A4" s="7"/>
      <c r="M4" s="14" t="s">
        <v>188</v>
      </c>
      <c r="N4" t="s">
        <v>187</v>
      </c>
      <c r="O4" t="s">
        <v>186</v>
      </c>
    </row>
    <row r="5" spans="1:15" ht="15.75" x14ac:dyDescent="0.25">
      <c r="A5" s="7"/>
      <c r="M5" s="15" t="s">
        <v>64</v>
      </c>
      <c r="N5">
        <v>24</v>
      </c>
      <c r="O5">
        <v>52</v>
      </c>
    </row>
    <row r="6" spans="1:15" x14ac:dyDescent="0.25">
      <c r="B6" s="12" t="s">
        <v>37</v>
      </c>
      <c r="C6" s="12" t="s">
        <v>38</v>
      </c>
      <c r="D6" s="12" t="s">
        <v>39</v>
      </c>
      <c r="E6" s="12" t="s">
        <v>40</v>
      </c>
      <c r="F6" s="12" t="s">
        <v>41</v>
      </c>
      <c r="G6" s="12" t="s">
        <v>42</v>
      </c>
      <c r="H6" s="12" t="s">
        <v>43</v>
      </c>
      <c r="I6" s="12" t="s">
        <v>44</v>
      </c>
      <c r="J6" s="12" t="s">
        <v>45</v>
      </c>
      <c r="K6" s="12" t="s">
        <v>46</v>
      </c>
      <c r="M6" s="15" t="s">
        <v>77</v>
      </c>
      <c r="N6">
        <v>26</v>
      </c>
      <c r="O6">
        <v>74</v>
      </c>
    </row>
    <row r="7" spans="1:15" x14ac:dyDescent="0.25">
      <c r="B7" s="12" t="s">
        <v>47</v>
      </c>
      <c r="C7" s="13">
        <v>45292</v>
      </c>
      <c r="D7" s="12" t="s">
        <v>48</v>
      </c>
      <c r="E7" s="12" t="s">
        <v>49</v>
      </c>
      <c r="F7" s="12" t="s">
        <v>50</v>
      </c>
      <c r="G7" s="12" t="s">
        <v>51</v>
      </c>
      <c r="H7" s="12" t="s">
        <v>52</v>
      </c>
      <c r="I7" s="12" t="s">
        <v>53</v>
      </c>
      <c r="J7" s="12" t="s">
        <v>54</v>
      </c>
      <c r="K7" s="12">
        <v>0</v>
      </c>
      <c r="M7" s="15" t="s">
        <v>53</v>
      </c>
      <c r="N7">
        <v>22</v>
      </c>
      <c r="O7">
        <v>51</v>
      </c>
    </row>
    <row r="8" spans="1:15" x14ac:dyDescent="0.25">
      <c r="B8" s="12" t="s">
        <v>55</v>
      </c>
      <c r="C8" s="13">
        <v>45380</v>
      </c>
      <c r="D8" s="12" t="s">
        <v>56</v>
      </c>
      <c r="E8" s="12" t="s">
        <v>49</v>
      </c>
      <c r="F8" s="12" t="s">
        <v>50</v>
      </c>
      <c r="G8" s="12" t="s">
        <v>57</v>
      </c>
      <c r="H8" s="12" t="s">
        <v>58</v>
      </c>
      <c r="I8" s="12" t="s">
        <v>53</v>
      </c>
      <c r="J8" s="12" t="s">
        <v>59</v>
      </c>
      <c r="K8" s="12">
        <v>0</v>
      </c>
      <c r="M8" s="15" t="s">
        <v>88</v>
      </c>
      <c r="N8">
        <v>28</v>
      </c>
      <c r="O8">
        <v>75</v>
      </c>
    </row>
    <row r="9" spans="1:15" x14ac:dyDescent="0.25">
      <c r="B9" s="12" t="s">
        <v>60</v>
      </c>
      <c r="C9" s="13">
        <v>45296</v>
      </c>
      <c r="D9" s="12" t="s">
        <v>56</v>
      </c>
      <c r="E9" s="12" t="s">
        <v>49</v>
      </c>
      <c r="F9" s="12" t="s">
        <v>61</v>
      </c>
      <c r="G9" s="12" t="s">
        <v>62</v>
      </c>
      <c r="H9" s="12" t="s">
        <v>63</v>
      </c>
      <c r="I9" s="12" t="s">
        <v>64</v>
      </c>
      <c r="J9" s="12" t="s">
        <v>54</v>
      </c>
      <c r="K9" s="12">
        <v>3</v>
      </c>
      <c r="M9" s="15" t="s">
        <v>185</v>
      </c>
      <c r="N9">
        <v>100</v>
      </c>
      <c r="O9">
        <v>252</v>
      </c>
    </row>
    <row r="10" spans="1:15" x14ac:dyDescent="0.25">
      <c r="B10" s="12" t="s">
        <v>65</v>
      </c>
      <c r="C10" s="13">
        <v>45445</v>
      </c>
      <c r="D10" s="12" t="s">
        <v>66</v>
      </c>
      <c r="E10" s="12" t="s">
        <v>67</v>
      </c>
      <c r="F10" s="12" t="s">
        <v>68</v>
      </c>
      <c r="G10" s="12" t="s">
        <v>51</v>
      </c>
      <c r="H10" s="12" t="s">
        <v>52</v>
      </c>
      <c r="I10" s="12" t="s">
        <v>64</v>
      </c>
      <c r="J10" s="12" t="s">
        <v>69</v>
      </c>
      <c r="K10" s="12">
        <v>4</v>
      </c>
    </row>
    <row r="11" spans="1:15" x14ac:dyDescent="0.25">
      <c r="B11" s="12" t="s">
        <v>70</v>
      </c>
      <c r="C11" s="13">
        <v>45350</v>
      </c>
      <c r="D11" s="12" t="s">
        <v>71</v>
      </c>
      <c r="E11" s="12" t="s">
        <v>72</v>
      </c>
      <c r="F11" s="12" t="s">
        <v>50</v>
      </c>
      <c r="G11" s="12" t="s">
        <v>51</v>
      </c>
      <c r="H11" s="12" t="s">
        <v>58</v>
      </c>
      <c r="I11" s="12" t="s">
        <v>53</v>
      </c>
      <c r="J11" s="12" t="s">
        <v>73</v>
      </c>
      <c r="K11" s="12">
        <v>0</v>
      </c>
      <c r="M11" s="14" t="s">
        <v>191</v>
      </c>
      <c r="N11" t="s">
        <v>187</v>
      </c>
    </row>
    <row r="12" spans="1:15" x14ac:dyDescent="0.25">
      <c r="B12" s="12" t="s">
        <v>74</v>
      </c>
      <c r="C12" s="13">
        <v>45399</v>
      </c>
      <c r="D12" s="12" t="s">
        <v>71</v>
      </c>
      <c r="E12" s="12" t="s">
        <v>72</v>
      </c>
      <c r="F12" s="12" t="s">
        <v>75</v>
      </c>
      <c r="G12" s="12" t="s">
        <v>76</v>
      </c>
      <c r="H12" s="12" t="s">
        <v>58</v>
      </c>
      <c r="I12" s="12" t="s">
        <v>77</v>
      </c>
      <c r="J12" s="12" t="s">
        <v>78</v>
      </c>
      <c r="K12" s="12">
        <v>4</v>
      </c>
      <c r="M12" s="15" t="s">
        <v>50</v>
      </c>
      <c r="N12">
        <v>19</v>
      </c>
    </row>
    <row r="13" spans="1:15" x14ac:dyDescent="0.25">
      <c r="B13" s="12" t="s">
        <v>79</v>
      </c>
      <c r="C13" s="13">
        <v>45338</v>
      </c>
      <c r="D13" s="12" t="s">
        <v>80</v>
      </c>
      <c r="E13" s="12" t="s">
        <v>72</v>
      </c>
      <c r="F13" s="12" t="s">
        <v>75</v>
      </c>
      <c r="G13" s="12" t="s">
        <v>76</v>
      </c>
      <c r="H13" s="12" t="s">
        <v>52</v>
      </c>
      <c r="I13" s="12" t="s">
        <v>77</v>
      </c>
      <c r="J13" s="12" t="s">
        <v>81</v>
      </c>
      <c r="K13" s="12">
        <v>2</v>
      </c>
      <c r="M13" s="15" t="s">
        <v>61</v>
      </c>
      <c r="N13">
        <v>15</v>
      </c>
    </row>
    <row r="14" spans="1:15" x14ac:dyDescent="0.25">
      <c r="B14" s="12" t="s">
        <v>82</v>
      </c>
      <c r="C14" s="13">
        <v>45369</v>
      </c>
      <c r="D14" s="12" t="s">
        <v>48</v>
      </c>
      <c r="E14" s="12" t="s">
        <v>49</v>
      </c>
      <c r="F14" s="12" t="s">
        <v>75</v>
      </c>
      <c r="G14" s="12" t="s">
        <v>57</v>
      </c>
      <c r="H14" s="12" t="s">
        <v>83</v>
      </c>
      <c r="I14" s="12" t="s">
        <v>53</v>
      </c>
      <c r="J14" s="12" t="s">
        <v>81</v>
      </c>
      <c r="K14" s="12">
        <v>5</v>
      </c>
      <c r="M14" s="15" t="s">
        <v>96</v>
      </c>
      <c r="N14">
        <v>11</v>
      </c>
    </row>
    <row r="15" spans="1:15" x14ac:dyDescent="0.25">
      <c r="B15" s="12" t="s">
        <v>84</v>
      </c>
      <c r="C15" s="13">
        <v>45425</v>
      </c>
      <c r="D15" s="12" t="s">
        <v>56</v>
      </c>
      <c r="E15" s="12" t="s">
        <v>67</v>
      </c>
      <c r="F15" s="12" t="s">
        <v>75</v>
      </c>
      <c r="G15" s="12" t="s">
        <v>62</v>
      </c>
      <c r="H15" s="12" t="s">
        <v>63</v>
      </c>
      <c r="I15" s="12" t="s">
        <v>77</v>
      </c>
      <c r="J15" s="12" t="s">
        <v>73</v>
      </c>
      <c r="K15" s="12">
        <v>2</v>
      </c>
      <c r="M15" s="15" t="s">
        <v>75</v>
      </c>
      <c r="N15">
        <v>22</v>
      </c>
    </row>
    <row r="16" spans="1:15" x14ac:dyDescent="0.25">
      <c r="B16" s="12" t="s">
        <v>85</v>
      </c>
      <c r="C16" s="13">
        <v>45307</v>
      </c>
      <c r="D16" s="12" t="s">
        <v>86</v>
      </c>
      <c r="E16" s="12" t="s">
        <v>67</v>
      </c>
      <c r="F16" s="12" t="s">
        <v>87</v>
      </c>
      <c r="G16" s="12" t="s">
        <v>51</v>
      </c>
      <c r="H16" s="12" t="s">
        <v>63</v>
      </c>
      <c r="I16" s="12" t="s">
        <v>88</v>
      </c>
      <c r="J16" s="12" t="s">
        <v>81</v>
      </c>
      <c r="K16" s="12">
        <v>5</v>
      </c>
      <c r="M16" s="15" t="s">
        <v>87</v>
      </c>
      <c r="N16">
        <v>21</v>
      </c>
    </row>
    <row r="17" spans="2:16" x14ac:dyDescent="0.25">
      <c r="B17" s="12" t="s">
        <v>89</v>
      </c>
      <c r="C17" s="13">
        <v>45299</v>
      </c>
      <c r="D17" s="12" t="s">
        <v>66</v>
      </c>
      <c r="E17" s="12" t="s">
        <v>90</v>
      </c>
      <c r="F17" s="12" t="s">
        <v>50</v>
      </c>
      <c r="G17" s="12" t="s">
        <v>51</v>
      </c>
      <c r="H17" s="12" t="s">
        <v>58</v>
      </c>
      <c r="I17" s="12" t="s">
        <v>64</v>
      </c>
      <c r="J17" s="12" t="s">
        <v>54</v>
      </c>
      <c r="K17" s="12">
        <v>0</v>
      </c>
      <c r="M17" s="15" t="s">
        <v>68</v>
      </c>
      <c r="N17">
        <v>12</v>
      </c>
    </row>
    <row r="18" spans="2:16" x14ac:dyDescent="0.25">
      <c r="B18" s="12" t="s">
        <v>91</v>
      </c>
      <c r="C18" s="13">
        <v>45468</v>
      </c>
      <c r="D18" s="12" t="s">
        <v>86</v>
      </c>
      <c r="E18" s="12" t="s">
        <v>92</v>
      </c>
      <c r="F18" s="12" t="s">
        <v>75</v>
      </c>
      <c r="G18" s="12" t="s">
        <v>51</v>
      </c>
      <c r="H18" s="12" t="s">
        <v>63</v>
      </c>
      <c r="I18" s="12" t="s">
        <v>88</v>
      </c>
      <c r="J18" s="12" t="s">
        <v>54</v>
      </c>
      <c r="K18" s="12">
        <v>3</v>
      </c>
      <c r="M18" s="15" t="s">
        <v>185</v>
      </c>
      <c r="N18">
        <v>100</v>
      </c>
    </row>
    <row r="19" spans="2:16" x14ac:dyDescent="0.25">
      <c r="B19" s="12" t="s">
        <v>93</v>
      </c>
      <c r="C19" s="13">
        <v>45380</v>
      </c>
      <c r="D19" s="12" t="s">
        <v>71</v>
      </c>
      <c r="E19" s="12" t="s">
        <v>92</v>
      </c>
      <c r="F19" s="12" t="s">
        <v>61</v>
      </c>
      <c r="G19" s="12" t="s">
        <v>76</v>
      </c>
      <c r="H19" s="12" t="s">
        <v>83</v>
      </c>
      <c r="I19" s="12" t="s">
        <v>88</v>
      </c>
      <c r="J19" s="12" t="s">
        <v>81</v>
      </c>
      <c r="K19" s="12">
        <v>1</v>
      </c>
    </row>
    <row r="20" spans="2:16" x14ac:dyDescent="0.25">
      <c r="B20" s="12" t="s">
        <v>94</v>
      </c>
      <c r="C20" s="13">
        <v>45384</v>
      </c>
      <c r="D20" s="12" t="s">
        <v>95</v>
      </c>
      <c r="E20" s="12" t="s">
        <v>49</v>
      </c>
      <c r="F20" s="12" t="s">
        <v>96</v>
      </c>
      <c r="G20" s="12" t="s">
        <v>57</v>
      </c>
      <c r="H20" s="12" t="s">
        <v>52</v>
      </c>
      <c r="I20" s="12" t="s">
        <v>88</v>
      </c>
      <c r="J20" s="12" t="s">
        <v>78</v>
      </c>
      <c r="K20" s="12">
        <v>2</v>
      </c>
      <c r="M20" s="14" t="s">
        <v>192</v>
      </c>
      <c r="N20" t="s">
        <v>187</v>
      </c>
      <c r="O20" t="s">
        <v>190</v>
      </c>
      <c r="P20" t="s">
        <v>186</v>
      </c>
    </row>
    <row r="21" spans="2:16" x14ac:dyDescent="0.25">
      <c r="B21" s="12" t="s">
        <v>97</v>
      </c>
      <c r="C21" s="13">
        <v>45378</v>
      </c>
      <c r="D21" s="12" t="s">
        <v>95</v>
      </c>
      <c r="E21" s="12" t="s">
        <v>92</v>
      </c>
      <c r="F21" s="12" t="s">
        <v>87</v>
      </c>
      <c r="G21" s="12" t="s">
        <v>57</v>
      </c>
      <c r="H21" s="12" t="s">
        <v>63</v>
      </c>
      <c r="I21" s="12" t="s">
        <v>53</v>
      </c>
      <c r="J21" s="12" t="s">
        <v>69</v>
      </c>
      <c r="K21" s="12">
        <v>1</v>
      </c>
      <c r="M21" s="15" t="s">
        <v>58</v>
      </c>
      <c r="N21">
        <v>27</v>
      </c>
      <c r="O21">
        <v>27</v>
      </c>
      <c r="P21">
        <v>65</v>
      </c>
    </row>
    <row r="22" spans="2:16" x14ac:dyDescent="0.25">
      <c r="B22" s="12" t="s">
        <v>98</v>
      </c>
      <c r="C22" s="13">
        <v>45431</v>
      </c>
      <c r="D22" s="12" t="s">
        <v>95</v>
      </c>
      <c r="E22" s="12" t="s">
        <v>49</v>
      </c>
      <c r="F22" s="12" t="s">
        <v>68</v>
      </c>
      <c r="G22" s="12" t="s">
        <v>57</v>
      </c>
      <c r="H22" s="12" t="s">
        <v>58</v>
      </c>
      <c r="I22" s="12" t="s">
        <v>88</v>
      </c>
      <c r="J22" s="12" t="s">
        <v>59</v>
      </c>
      <c r="K22" s="12">
        <v>5</v>
      </c>
      <c r="M22" s="15" t="s">
        <v>52</v>
      </c>
      <c r="N22">
        <v>23</v>
      </c>
      <c r="O22">
        <v>23</v>
      </c>
      <c r="P22">
        <v>46</v>
      </c>
    </row>
    <row r="23" spans="2:16" x14ac:dyDescent="0.25">
      <c r="B23" s="12" t="s">
        <v>99</v>
      </c>
      <c r="C23" s="13">
        <v>45354</v>
      </c>
      <c r="D23" s="12" t="s">
        <v>48</v>
      </c>
      <c r="E23" s="12" t="s">
        <v>67</v>
      </c>
      <c r="F23" s="12" t="s">
        <v>87</v>
      </c>
      <c r="G23" s="12" t="s">
        <v>62</v>
      </c>
      <c r="H23" s="12" t="s">
        <v>63</v>
      </c>
      <c r="I23" s="12" t="s">
        <v>53</v>
      </c>
      <c r="J23" s="12" t="s">
        <v>59</v>
      </c>
      <c r="K23" s="12">
        <v>4</v>
      </c>
      <c r="M23" s="15" t="s">
        <v>63</v>
      </c>
      <c r="N23">
        <v>28</v>
      </c>
      <c r="O23">
        <v>28</v>
      </c>
      <c r="P23">
        <v>79</v>
      </c>
    </row>
    <row r="24" spans="2:16" x14ac:dyDescent="0.25">
      <c r="B24" s="12" t="s">
        <v>100</v>
      </c>
      <c r="C24" s="13">
        <v>45359</v>
      </c>
      <c r="D24" s="12" t="s">
        <v>101</v>
      </c>
      <c r="E24" s="12" t="s">
        <v>49</v>
      </c>
      <c r="F24" s="12" t="s">
        <v>75</v>
      </c>
      <c r="G24" s="12" t="s">
        <v>62</v>
      </c>
      <c r="H24" s="12" t="s">
        <v>63</v>
      </c>
      <c r="I24" s="12" t="s">
        <v>53</v>
      </c>
      <c r="J24" s="12" t="s">
        <v>69</v>
      </c>
      <c r="K24" s="12">
        <v>3</v>
      </c>
      <c r="M24" s="15" t="s">
        <v>83</v>
      </c>
      <c r="N24">
        <v>22</v>
      </c>
      <c r="O24">
        <v>22</v>
      </c>
      <c r="P24">
        <v>62</v>
      </c>
    </row>
    <row r="25" spans="2:16" x14ac:dyDescent="0.25">
      <c r="B25" s="12" t="s">
        <v>102</v>
      </c>
      <c r="C25" s="13">
        <v>45469</v>
      </c>
      <c r="D25" s="12" t="s">
        <v>80</v>
      </c>
      <c r="E25" s="12" t="s">
        <v>49</v>
      </c>
      <c r="F25" s="12" t="s">
        <v>87</v>
      </c>
      <c r="G25" s="12" t="s">
        <v>76</v>
      </c>
      <c r="H25" s="12" t="s">
        <v>83</v>
      </c>
      <c r="I25" s="12" t="s">
        <v>88</v>
      </c>
      <c r="J25" s="12" t="s">
        <v>78</v>
      </c>
      <c r="K25" s="12">
        <v>4</v>
      </c>
      <c r="M25" s="15" t="s">
        <v>185</v>
      </c>
      <c r="N25">
        <v>100</v>
      </c>
      <c r="O25">
        <v>100</v>
      </c>
      <c r="P25">
        <v>252</v>
      </c>
    </row>
    <row r="26" spans="2:16" x14ac:dyDescent="0.25">
      <c r="B26" s="12" t="s">
        <v>103</v>
      </c>
      <c r="C26" s="13">
        <v>45317</v>
      </c>
      <c r="D26" s="12" t="s">
        <v>80</v>
      </c>
      <c r="E26" s="12" t="s">
        <v>67</v>
      </c>
      <c r="F26" s="12" t="s">
        <v>61</v>
      </c>
      <c r="G26" s="12" t="s">
        <v>76</v>
      </c>
      <c r="H26" s="12" t="s">
        <v>58</v>
      </c>
      <c r="I26" s="12" t="s">
        <v>53</v>
      </c>
      <c r="J26" s="12" t="s">
        <v>69</v>
      </c>
      <c r="K26" s="12">
        <v>5</v>
      </c>
    </row>
    <row r="27" spans="2:16" x14ac:dyDescent="0.25">
      <c r="B27" s="12" t="s">
        <v>104</v>
      </c>
      <c r="C27" s="13">
        <v>45327</v>
      </c>
      <c r="D27" s="12" t="s">
        <v>66</v>
      </c>
      <c r="E27" s="12" t="s">
        <v>72</v>
      </c>
      <c r="F27" s="12" t="s">
        <v>87</v>
      </c>
      <c r="G27" s="12" t="s">
        <v>62</v>
      </c>
      <c r="H27" s="12" t="s">
        <v>58</v>
      </c>
      <c r="I27" s="12" t="s">
        <v>77</v>
      </c>
      <c r="J27" s="12" t="s">
        <v>59</v>
      </c>
      <c r="K27" s="12">
        <v>5</v>
      </c>
      <c r="M27" s="14" t="s">
        <v>188</v>
      </c>
      <c r="N27" t="s">
        <v>187</v>
      </c>
    </row>
    <row r="28" spans="2:16" x14ac:dyDescent="0.25">
      <c r="B28" s="12" t="s">
        <v>105</v>
      </c>
      <c r="C28" s="13">
        <v>45450</v>
      </c>
      <c r="D28" s="12" t="s">
        <v>48</v>
      </c>
      <c r="E28" s="12" t="s">
        <v>90</v>
      </c>
      <c r="F28" s="12" t="s">
        <v>68</v>
      </c>
      <c r="G28" s="12" t="s">
        <v>57</v>
      </c>
      <c r="H28" s="12" t="s">
        <v>63</v>
      </c>
      <c r="I28" s="12" t="s">
        <v>64</v>
      </c>
      <c r="J28" s="12" t="s">
        <v>73</v>
      </c>
      <c r="K28" s="12">
        <v>4</v>
      </c>
      <c r="M28" s="15" t="s">
        <v>86</v>
      </c>
      <c r="N28">
        <v>9</v>
      </c>
    </row>
    <row r="29" spans="2:16" x14ac:dyDescent="0.25">
      <c r="B29" s="12" t="s">
        <v>106</v>
      </c>
      <c r="C29" s="13">
        <v>45378</v>
      </c>
      <c r="D29" s="12" t="s">
        <v>95</v>
      </c>
      <c r="E29" s="12" t="s">
        <v>67</v>
      </c>
      <c r="F29" s="12" t="s">
        <v>61</v>
      </c>
      <c r="G29" s="12" t="s">
        <v>76</v>
      </c>
      <c r="H29" s="12" t="s">
        <v>63</v>
      </c>
      <c r="I29" s="12" t="s">
        <v>88</v>
      </c>
      <c r="J29" s="12" t="s">
        <v>73</v>
      </c>
      <c r="K29" s="12">
        <v>4</v>
      </c>
      <c r="M29" s="15" t="s">
        <v>71</v>
      </c>
      <c r="N29">
        <v>14</v>
      </c>
    </row>
    <row r="30" spans="2:16" x14ac:dyDescent="0.25">
      <c r="B30" s="12" t="s">
        <v>107</v>
      </c>
      <c r="C30" s="13">
        <v>45346</v>
      </c>
      <c r="D30" s="12" t="s">
        <v>56</v>
      </c>
      <c r="E30" s="12" t="s">
        <v>90</v>
      </c>
      <c r="F30" s="12" t="s">
        <v>68</v>
      </c>
      <c r="G30" s="12" t="s">
        <v>76</v>
      </c>
      <c r="H30" s="12" t="s">
        <v>52</v>
      </c>
      <c r="I30" s="12" t="s">
        <v>53</v>
      </c>
      <c r="J30" s="12" t="s">
        <v>54</v>
      </c>
      <c r="K30" s="12">
        <v>0</v>
      </c>
      <c r="M30" s="15" t="s">
        <v>95</v>
      </c>
      <c r="N30">
        <v>12</v>
      </c>
    </row>
    <row r="31" spans="2:16" x14ac:dyDescent="0.25">
      <c r="B31" s="12" t="s">
        <v>108</v>
      </c>
      <c r="C31" s="13">
        <v>45447</v>
      </c>
      <c r="D31" s="12" t="s">
        <v>80</v>
      </c>
      <c r="E31" s="12" t="s">
        <v>72</v>
      </c>
      <c r="F31" s="12" t="s">
        <v>87</v>
      </c>
      <c r="G31" s="12" t="s">
        <v>76</v>
      </c>
      <c r="H31" s="12" t="s">
        <v>58</v>
      </c>
      <c r="I31" s="12" t="s">
        <v>64</v>
      </c>
      <c r="J31" s="12" t="s">
        <v>78</v>
      </c>
      <c r="K31" s="12">
        <v>1</v>
      </c>
      <c r="M31" s="15" t="s">
        <v>80</v>
      </c>
      <c r="N31">
        <v>9</v>
      </c>
    </row>
    <row r="32" spans="2:16" x14ac:dyDescent="0.25">
      <c r="B32" s="12" t="s">
        <v>109</v>
      </c>
      <c r="C32" s="13">
        <v>45442</v>
      </c>
      <c r="D32" s="12" t="s">
        <v>66</v>
      </c>
      <c r="E32" s="12" t="s">
        <v>67</v>
      </c>
      <c r="F32" s="12" t="s">
        <v>96</v>
      </c>
      <c r="G32" s="12" t="s">
        <v>51</v>
      </c>
      <c r="H32" s="12" t="s">
        <v>58</v>
      </c>
      <c r="I32" s="12" t="s">
        <v>53</v>
      </c>
      <c r="J32" s="12" t="s">
        <v>73</v>
      </c>
      <c r="K32" s="12">
        <v>0</v>
      </c>
      <c r="M32" s="15" t="s">
        <v>48</v>
      </c>
      <c r="N32">
        <v>17</v>
      </c>
    </row>
    <row r="33" spans="2:14" x14ac:dyDescent="0.25">
      <c r="B33" s="12" t="s">
        <v>110</v>
      </c>
      <c r="C33" s="13">
        <v>45386</v>
      </c>
      <c r="D33" s="12" t="s">
        <v>48</v>
      </c>
      <c r="E33" s="12" t="s">
        <v>92</v>
      </c>
      <c r="F33" s="12" t="s">
        <v>75</v>
      </c>
      <c r="G33" s="12" t="s">
        <v>62</v>
      </c>
      <c r="H33" s="12" t="s">
        <v>83</v>
      </c>
      <c r="I33" s="12" t="s">
        <v>64</v>
      </c>
      <c r="J33" s="12" t="s">
        <v>54</v>
      </c>
      <c r="K33" s="12">
        <v>0</v>
      </c>
      <c r="M33" s="15" t="s">
        <v>101</v>
      </c>
      <c r="N33">
        <v>13</v>
      </c>
    </row>
    <row r="34" spans="2:14" x14ac:dyDescent="0.25">
      <c r="B34" s="12" t="s">
        <v>111</v>
      </c>
      <c r="C34" s="13">
        <v>45422</v>
      </c>
      <c r="D34" s="12" t="s">
        <v>48</v>
      </c>
      <c r="E34" s="12" t="s">
        <v>49</v>
      </c>
      <c r="F34" s="12" t="s">
        <v>61</v>
      </c>
      <c r="G34" s="12" t="s">
        <v>57</v>
      </c>
      <c r="H34" s="12" t="s">
        <v>52</v>
      </c>
      <c r="I34" s="12" t="s">
        <v>88</v>
      </c>
      <c r="J34" s="12" t="s">
        <v>69</v>
      </c>
      <c r="K34" s="12">
        <v>4</v>
      </c>
      <c r="M34" s="15" t="s">
        <v>56</v>
      </c>
      <c r="N34">
        <v>15</v>
      </c>
    </row>
    <row r="35" spans="2:14" x14ac:dyDescent="0.25">
      <c r="B35" s="12" t="s">
        <v>112</v>
      </c>
      <c r="C35" s="13">
        <v>45353</v>
      </c>
      <c r="D35" s="12" t="s">
        <v>95</v>
      </c>
      <c r="E35" s="12" t="s">
        <v>72</v>
      </c>
      <c r="F35" s="12" t="s">
        <v>50</v>
      </c>
      <c r="G35" s="12" t="s">
        <v>76</v>
      </c>
      <c r="H35" s="12" t="s">
        <v>58</v>
      </c>
      <c r="I35" s="12" t="s">
        <v>88</v>
      </c>
      <c r="J35" s="12" t="s">
        <v>73</v>
      </c>
      <c r="K35" s="12">
        <v>4</v>
      </c>
      <c r="M35" s="15" t="s">
        <v>66</v>
      </c>
      <c r="N35">
        <v>11</v>
      </c>
    </row>
    <row r="36" spans="2:14" x14ac:dyDescent="0.25">
      <c r="B36" s="12" t="s">
        <v>113</v>
      </c>
      <c r="C36" s="13">
        <v>45398</v>
      </c>
      <c r="D36" s="12" t="s">
        <v>66</v>
      </c>
      <c r="E36" s="12" t="s">
        <v>92</v>
      </c>
      <c r="F36" s="12" t="s">
        <v>75</v>
      </c>
      <c r="G36" s="12" t="s">
        <v>57</v>
      </c>
      <c r="H36" s="12" t="s">
        <v>63</v>
      </c>
      <c r="I36" s="12" t="s">
        <v>88</v>
      </c>
      <c r="J36" s="12" t="s">
        <v>59</v>
      </c>
      <c r="K36" s="12">
        <v>0</v>
      </c>
      <c r="M36" s="15" t="s">
        <v>185</v>
      </c>
      <c r="N36">
        <v>100</v>
      </c>
    </row>
    <row r="37" spans="2:14" x14ac:dyDescent="0.25">
      <c r="B37" s="12" t="s">
        <v>114</v>
      </c>
      <c r="C37" s="13">
        <v>45452</v>
      </c>
      <c r="D37" s="12" t="s">
        <v>101</v>
      </c>
      <c r="E37" s="12" t="s">
        <v>90</v>
      </c>
      <c r="F37" s="12" t="s">
        <v>87</v>
      </c>
      <c r="G37" s="12" t="s">
        <v>76</v>
      </c>
      <c r="H37" s="12" t="s">
        <v>83</v>
      </c>
      <c r="I37" s="12" t="s">
        <v>88</v>
      </c>
      <c r="J37" s="12" t="s">
        <v>54</v>
      </c>
      <c r="K37" s="12">
        <v>5</v>
      </c>
    </row>
    <row r="38" spans="2:14" x14ac:dyDescent="0.25">
      <c r="B38" s="12" t="s">
        <v>115</v>
      </c>
      <c r="C38" s="13">
        <v>45347</v>
      </c>
      <c r="D38" s="12" t="s">
        <v>95</v>
      </c>
      <c r="E38" s="12" t="s">
        <v>92</v>
      </c>
      <c r="F38" s="12" t="s">
        <v>50</v>
      </c>
      <c r="G38" s="12" t="s">
        <v>76</v>
      </c>
      <c r="H38" s="12" t="s">
        <v>58</v>
      </c>
      <c r="I38" s="12" t="s">
        <v>64</v>
      </c>
      <c r="J38" s="12" t="s">
        <v>78</v>
      </c>
      <c r="K38" s="12">
        <v>2</v>
      </c>
    </row>
    <row r="39" spans="2:14" x14ac:dyDescent="0.25">
      <c r="B39" s="12" t="s">
        <v>116</v>
      </c>
      <c r="C39" s="13">
        <v>45467</v>
      </c>
      <c r="D39" s="12" t="s">
        <v>66</v>
      </c>
      <c r="E39" s="12" t="s">
        <v>90</v>
      </c>
      <c r="F39" s="12" t="s">
        <v>50</v>
      </c>
      <c r="G39" s="12" t="s">
        <v>62</v>
      </c>
      <c r="H39" s="12" t="s">
        <v>58</v>
      </c>
      <c r="I39" s="12" t="s">
        <v>64</v>
      </c>
      <c r="J39" s="12" t="s">
        <v>59</v>
      </c>
      <c r="K39" s="12">
        <v>1</v>
      </c>
    </row>
    <row r="40" spans="2:14" x14ac:dyDescent="0.25">
      <c r="B40" s="12" t="s">
        <v>117</v>
      </c>
      <c r="C40" s="13">
        <v>45403</v>
      </c>
      <c r="D40" s="12" t="s">
        <v>101</v>
      </c>
      <c r="E40" s="12" t="s">
        <v>72</v>
      </c>
      <c r="F40" s="12" t="s">
        <v>61</v>
      </c>
      <c r="G40" s="12" t="s">
        <v>51</v>
      </c>
      <c r="H40" s="12" t="s">
        <v>63</v>
      </c>
      <c r="I40" s="12" t="s">
        <v>77</v>
      </c>
      <c r="J40" s="12" t="s">
        <v>78</v>
      </c>
      <c r="K40" s="12">
        <v>1</v>
      </c>
    </row>
    <row r="41" spans="2:14" x14ac:dyDescent="0.25">
      <c r="B41" s="12" t="s">
        <v>118</v>
      </c>
      <c r="C41" s="13">
        <v>45293</v>
      </c>
      <c r="D41" s="12" t="s">
        <v>56</v>
      </c>
      <c r="E41" s="12" t="s">
        <v>49</v>
      </c>
      <c r="F41" s="12" t="s">
        <v>68</v>
      </c>
      <c r="G41" s="12" t="s">
        <v>51</v>
      </c>
      <c r="H41" s="12" t="s">
        <v>83</v>
      </c>
      <c r="I41" s="12" t="s">
        <v>88</v>
      </c>
      <c r="J41" s="12" t="s">
        <v>81</v>
      </c>
      <c r="K41" s="12">
        <v>3</v>
      </c>
    </row>
    <row r="42" spans="2:14" x14ac:dyDescent="0.25">
      <c r="B42" s="12" t="s">
        <v>119</v>
      </c>
      <c r="C42" s="13">
        <v>45436</v>
      </c>
      <c r="D42" s="12" t="s">
        <v>101</v>
      </c>
      <c r="E42" s="12" t="s">
        <v>72</v>
      </c>
      <c r="F42" s="12" t="s">
        <v>50</v>
      </c>
      <c r="G42" s="12" t="s">
        <v>51</v>
      </c>
      <c r="H42" s="12" t="s">
        <v>83</v>
      </c>
      <c r="I42" s="12" t="s">
        <v>53</v>
      </c>
      <c r="J42" s="12" t="s">
        <v>59</v>
      </c>
      <c r="K42" s="12">
        <v>4</v>
      </c>
    </row>
    <row r="43" spans="2:14" x14ac:dyDescent="0.25">
      <c r="B43" s="12" t="s">
        <v>120</v>
      </c>
      <c r="C43" s="13">
        <v>45317</v>
      </c>
      <c r="D43" s="12" t="s">
        <v>86</v>
      </c>
      <c r="E43" s="12" t="s">
        <v>90</v>
      </c>
      <c r="F43" s="12" t="s">
        <v>87</v>
      </c>
      <c r="G43" s="12" t="s">
        <v>51</v>
      </c>
      <c r="H43" s="12" t="s">
        <v>63</v>
      </c>
      <c r="I43" s="12" t="s">
        <v>77</v>
      </c>
      <c r="J43" s="12" t="s">
        <v>54</v>
      </c>
      <c r="K43" s="12">
        <v>5</v>
      </c>
    </row>
    <row r="44" spans="2:14" x14ac:dyDescent="0.25">
      <c r="B44" s="12" t="s">
        <v>121</v>
      </c>
      <c r="C44" s="13">
        <v>45314</v>
      </c>
      <c r="D44" s="12" t="s">
        <v>71</v>
      </c>
      <c r="E44" s="12" t="s">
        <v>49</v>
      </c>
      <c r="F44" s="12" t="s">
        <v>50</v>
      </c>
      <c r="G44" s="12" t="s">
        <v>62</v>
      </c>
      <c r="H44" s="12" t="s">
        <v>63</v>
      </c>
      <c r="I44" s="12" t="s">
        <v>88</v>
      </c>
      <c r="J44" s="12" t="s">
        <v>81</v>
      </c>
      <c r="K44" s="12">
        <v>0</v>
      </c>
    </row>
    <row r="45" spans="2:14" x14ac:dyDescent="0.25">
      <c r="B45" s="12" t="s">
        <v>122</v>
      </c>
      <c r="C45" s="13">
        <v>45408</v>
      </c>
      <c r="D45" s="12" t="s">
        <v>66</v>
      </c>
      <c r="E45" s="12" t="s">
        <v>72</v>
      </c>
      <c r="F45" s="12" t="s">
        <v>75</v>
      </c>
      <c r="G45" s="12" t="s">
        <v>57</v>
      </c>
      <c r="H45" s="12" t="s">
        <v>63</v>
      </c>
      <c r="I45" s="12" t="s">
        <v>64</v>
      </c>
      <c r="J45" s="12" t="s">
        <v>81</v>
      </c>
      <c r="K45" s="12">
        <v>2</v>
      </c>
    </row>
    <row r="46" spans="2:14" x14ac:dyDescent="0.25">
      <c r="B46" s="12" t="s">
        <v>123</v>
      </c>
      <c r="C46" s="13">
        <v>45365</v>
      </c>
      <c r="D46" s="12" t="s">
        <v>48</v>
      </c>
      <c r="E46" s="12" t="s">
        <v>49</v>
      </c>
      <c r="F46" s="12" t="s">
        <v>50</v>
      </c>
      <c r="G46" s="12" t="s">
        <v>76</v>
      </c>
      <c r="H46" s="12" t="s">
        <v>58</v>
      </c>
      <c r="I46" s="12" t="s">
        <v>64</v>
      </c>
      <c r="J46" s="12" t="s">
        <v>73</v>
      </c>
      <c r="K46" s="12">
        <v>1</v>
      </c>
    </row>
    <row r="47" spans="2:14" x14ac:dyDescent="0.25">
      <c r="B47" s="12" t="s">
        <v>124</v>
      </c>
      <c r="C47" s="13">
        <v>45301</v>
      </c>
      <c r="D47" s="12" t="s">
        <v>48</v>
      </c>
      <c r="E47" s="12" t="s">
        <v>72</v>
      </c>
      <c r="F47" s="12" t="s">
        <v>50</v>
      </c>
      <c r="G47" s="12" t="s">
        <v>51</v>
      </c>
      <c r="H47" s="12" t="s">
        <v>83</v>
      </c>
      <c r="I47" s="12" t="s">
        <v>77</v>
      </c>
      <c r="J47" s="12" t="s">
        <v>69</v>
      </c>
      <c r="K47" s="12">
        <v>4</v>
      </c>
    </row>
    <row r="48" spans="2:14" x14ac:dyDescent="0.25">
      <c r="B48" s="12" t="s">
        <v>125</v>
      </c>
      <c r="C48" s="13">
        <v>45410</v>
      </c>
      <c r="D48" s="12" t="s">
        <v>56</v>
      </c>
      <c r="E48" s="12" t="s">
        <v>67</v>
      </c>
      <c r="F48" s="12" t="s">
        <v>75</v>
      </c>
      <c r="G48" s="12" t="s">
        <v>57</v>
      </c>
      <c r="H48" s="12" t="s">
        <v>63</v>
      </c>
      <c r="I48" s="12" t="s">
        <v>77</v>
      </c>
      <c r="J48" s="12" t="s">
        <v>81</v>
      </c>
      <c r="K48" s="12">
        <v>2</v>
      </c>
    </row>
    <row r="49" spans="2:11" x14ac:dyDescent="0.25">
      <c r="B49" s="12" t="s">
        <v>126</v>
      </c>
      <c r="C49" s="13">
        <v>45314</v>
      </c>
      <c r="D49" s="12" t="s">
        <v>71</v>
      </c>
      <c r="E49" s="12" t="s">
        <v>49</v>
      </c>
      <c r="F49" s="12" t="s">
        <v>61</v>
      </c>
      <c r="G49" s="12" t="s">
        <v>62</v>
      </c>
      <c r="H49" s="12" t="s">
        <v>63</v>
      </c>
      <c r="I49" s="12" t="s">
        <v>77</v>
      </c>
      <c r="J49" s="12" t="s">
        <v>69</v>
      </c>
      <c r="K49" s="12">
        <v>2</v>
      </c>
    </row>
    <row r="50" spans="2:11" x14ac:dyDescent="0.25">
      <c r="B50" s="12" t="s">
        <v>127</v>
      </c>
      <c r="C50" s="13">
        <v>45370</v>
      </c>
      <c r="D50" s="12" t="s">
        <v>48</v>
      </c>
      <c r="E50" s="12" t="s">
        <v>72</v>
      </c>
      <c r="F50" s="12" t="s">
        <v>75</v>
      </c>
      <c r="G50" s="12" t="s">
        <v>62</v>
      </c>
      <c r="H50" s="12" t="s">
        <v>83</v>
      </c>
      <c r="I50" s="12" t="s">
        <v>64</v>
      </c>
      <c r="J50" s="12" t="s">
        <v>73</v>
      </c>
      <c r="K50" s="12">
        <v>4</v>
      </c>
    </row>
    <row r="51" spans="2:11" x14ac:dyDescent="0.25">
      <c r="B51" s="12" t="s">
        <v>128</v>
      </c>
      <c r="C51" s="13">
        <v>45371</v>
      </c>
      <c r="D51" s="12" t="s">
        <v>48</v>
      </c>
      <c r="E51" s="12" t="s">
        <v>49</v>
      </c>
      <c r="F51" s="12" t="s">
        <v>96</v>
      </c>
      <c r="G51" s="12" t="s">
        <v>51</v>
      </c>
      <c r="H51" s="12" t="s">
        <v>83</v>
      </c>
      <c r="I51" s="12" t="s">
        <v>88</v>
      </c>
      <c r="J51" s="12" t="s">
        <v>69</v>
      </c>
      <c r="K51" s="12">
        <v>3</v>
      </c>
    </row>
    <row r="52" spans="2:11" x14ac:dyDescent="0.25">
      <c r="B52" s="12" t="s">
        <v>129</v>
      </c>
      <c r="C52" s="13">
        <v>45417</v>
      </c>
      <c r="D52" s="12" t="s">
        <v>56</v>
      </c>
      <c r="E52" s="12" t="s">
        <v>72</v>
      </c>
      <c r="F52" s="12" t="s">
        <v>87</v>
      </c>
      <c r="G52" s="12" t="s">
        <v>76</v>
      </c>
      <c r="H52" s="12" t="s">
        <v>52</v>
      </c>
      <c r="I52" s="12" t="s">
        <v>77</v>
      </c>
      <c r="J52" s="12" t="s">
        <v>81</v>
      </c>
      <c r="K52" s="12">
        <v>0</v>
      </c>
    </row>
    <row r="53" spans="2:11" x14ac:dyDescent="0.25">
      <c r="B53" s="12" t="s">
        <v>130</v>
      </c>
      <c r="C53" s="13">
        <v>45402</v>
      </c>
      <c r="D53" s="12" t="s">
        <v>48</v>
      </c>
      <c r="E53" s="12" t="s">
        <v>49</v>
      </c>
      <c r="F53" s="12" t="s">
        <v>75</v>
      </c>
      <c r="G53" s="12" t="s">
        <v>57</v>
      </c>
      <c r="H53" s="12" t="s">
        <v>52</v>
      </c>
      <c r="I53" s="12" t="s">
        <v>88</v>
      </c>
      <c r="J53" s="12" t="s">
        <v>54</v>
      </c>
      <c r="K53" s="12">
        <v>1</v>
      </c>
    </row>
    <row r="54" spans="2:11" x14ac:dyDescent="0.25">
      <c r="B54" s="12" t="s">
        <v>131</v>
      </c>
      <c r="C54" s="13">
        <v>45466</v>
      </c>
      <c r="D54" s="12" t="s">
        <v>95</v>
      </c>
      <c r="E54" s="12" t="s">
        <v>72</v>
      </c>
      <c r="F54" s="12" t="s">
        <v>87</v>
      </c>
      <c r="G54" s="12" t="s">
        <v>76</v>
      </c>
      <c r="H54" s="12" t="s">
        <v>83</v>
      </c>
      <c r="I54" s="12" t="s">
        <v>64</v>
      </c>
      <c r="J54" s="12" t="s">
        <v>78</v>
      </c>
      <c r="K54" s="12">
        <v>0</v>
      </c>
    </row>
    <row r="55" spans="2:11" x14ac:dyDescent="0.25">
      <c r="B55" s="12" t="s">
        <v>132</v>
      </c>
      <c r="C55" s="13">
        <v>45369</v>
      </c>
      <c r="D55" s="12" t="s">
        <v>101</v>
      </c>
      <c r="E55" s="12" t="s">
        <v>67</v>
      </c>
      <c r="F55" s="12" t="s">
        <v>87</v>
      </c>
      <c r="G55" s="12" t="s">
        <v>51</v>
      </c>
      <c r="H55" s="12" t="s">
        <v>52</v>
      </c>
      <c r="I55" s="12" t="s">
        <v>53</v>
      </c>
      <c r="J55" s="12" t="s">
        <v>73</v>
      </c>
      <c r="K55" s="12">
        <v>5</v>
      </c>
    </row>
    <row r="56" spans="2:11" x14ac:dyDescent="0.25">
      <c r="B56" s="12" t="s">
        <v>133</v>
      </c>
      <c r="C56" s="13">
        <v>45436</v>
      </c>
      <c r="D56" s="12" t="s">
        <v>71</v>
      </c>
      <c r="E56" s="12" t="s">
        <v>92</v>
      </c>
      <c r="F56" s="12" t="s">
        <v>68</v>
      </c>
      <c r="G56" s="12" t="s">
        <v>57</v>
      </c>
      <c r="H56" s="12" t="s">
        <v>58</v>
      </c>
      <c r="I56" s="12" t="s">
        <v>77</v>
      </c>
      <c r="J56" s="12" t="s">
        <v>81</v>
      </c>
      <c r="K56" s="12">
        <v>2</v>
      </c>
    </row>
    <row r="57" spans="2:11" x14ac:dyDescent="0.25">
      <c r="B57" s="12" t="s">
        <v>134</v>
      </c>
      <c r="C57" s="13">
        <v>45383</v>
      </c>
      <c r="D57" s="12" t="s">
        <v>86</v>
      </c>
      <c r="E57" s="12" t="s">
        <v>67</v>
      </c>
      <c r="F57" s="12" t="s">
        <v>61</v>
      </c>
      <c r="G57" s="12" t="s">
        <v>62</v>
      </c>
      <c r="H57" s="12" t="s">
        <v>52</v>
      </c>
      <c r="I57" s="12" t="s">
        <v>53</v>
      </c>
      <c r="J57" s="12" t="s">
        <v>78</v>
      </c>
      <c r="K57" s="12">
        <v>0</v>
      </c>
    </row>
    <row r="58" spans="2:11" x14ac:dyDescent="0.25">
      <c r="B58" s="12" t="s">
        <v>135</v>
      </c>
      <c r="C58" s="13">
        <v>45347</v>
      </c>
      <c r="D58" s="12" t="s">
        <v>80</v>
      </c>
      <c r="E58" s="12" t="s">
        <v>72</v>
      </c>
      <c r="F58" s="12" t="s">
        <v>68</v>
      </c>
      <c r="G58" s="12" t="s">
        <v>57</v>
      </c>
      <c r="H58" s="12" t="s">
        <v>58</v>
      </c>
      <c r="I58" s="12" t="s">
        <v>88</v>
      </c>
      <c r="J58" s="12" t="s">
        <v>73</v>
      </c>
      <c r="K58" s="12">
        <v>2</v>
      </c>
    </row>
    <row r="59" spans="2:11" x14ac:dyDescent="0.25">
      <c r="B59" s="12" t="s">
        <v>136</v>
      </c>
      <c r="C59" s="13">
        <v>45311</v>
      </c>
      <c r="D59" s="12" t="s">
        <v>101</v>
      </c>
      <c r="E59" s="12" t="s">
        <v>92</v>
      </c>
      <c r="F59" s="12" t="s">
        <v>75</v>
      </c>
      <c r="G59" s="12" t="s">
        <v>62</v>
      </c>
      <c r="H59" s="12" t="s">
        <v>63</v>
      </c>
      <c r="I59" s="12" t="s">
        <v>53</v>
      </c>
      <c r="J59" s="12" t="s">
        <v>78</v>
      </c>
      <c r="K59" s="12">
        <v>3</v>
      </c>
    </row>
    <row r="60" spans="2:11" x14ac:dyDescent="0.25">
      <c r="B60" s="12" t="s">
        <v>137</v>
      </c>
      <c r="C60" s="13">
        <v>45345</v>
      </c>
      <c r="D60" s="12" t="s">
        <v>48</v>
      </c>
      <c r="E60" s="12" t="s">
        <v>72</v>
      </c>
      <c r="F60" s="12" t="s">
        <v>68</v>
      </c>
      <c r="G60" s="12" t="s">
        <v>62</v>
      </c>
      <c r="H60" s="12" t="s">
        <v>52</v>
      </c>
      <c r="I60" s="12" t="s">
        <v>88</v>
      </c>
      <c r="J60" s="12" t="s">
        <v>78</v>
      </c>
      <c r="K60" s="12">
        <v>5</v>
      </c>
    </row>
    <row r="61" spans="2:11" x14ac:dyDescent="0.25">
      <c r="B61" s="12" t="s">
        <v>138</v>
      </c>
      <c r="C61" s="13">
        <v>45433</v>
      </c>
      <c r="D61" s="12" t="s">
        <v>48</v>
      </c>
      <c r="E61" s="12" t="s">
        <v>49</v>
      </c>
      <c r="F61" s="12" t="s">
        <v>50</v>
      </c>
      <c r="G61" s="12" t="s">
        <v>51</v>
      </c>
      <c r="H61" s="12" t="s">
        <v>58</v>
      </c>
      <c r="I61" s="12" t="s">
        <v>53</v>
      </c>
      <c r="J61" s="12" t="s">
        <v>69</v>
      </c>
      <c r="K61" s="12">
        <v>4</v>
      </c>
    </row>
    <row r="62" spans="2:11" x14ac:dyDescent="0.25">
      <c r="B62" s="12" t="s">
        <v>139</v>
      </c>
      <c r="C62" s="13">
        <v>45374</v>
      </c>
      <c r="D62" s="12" t="s">
        <v>71</v>
      </c>
      <c r="E62" s="12" t="s">
        <v>49</v>
      </c>
      <c r="F62" s="12" t="s">
        <v>96</v>
      </c>
      <c r="G62" s="12" t="s">
        <v>57</v>
      </c>
      <c r="H62" s="12" t="s">
        <v>63</v>
      </c>
      <c r="I62" s="12" t="s">
        <v>53</v>
      </c>
      <c r="J62" s="12" t="s">
        <v>78</v>
      </c>
      <c r="K62" s="12">
        <v>3</v>
      </c>
    </row>
    <row r="63" spans="2:11" x14ac:dyDescent="0.25">
      <c r="B63" s="12" t="s">
        <v>140</v>
      </c>
      <c r="C63" s="13">
        <v>45433</v>
      </c>
      <c r="D63" s="12" t="s">
        <v>71</v>
      </c>
      <c r="E63" s="12" t="s">
        <v>49</v>
      </c>
      <c r="F63" s="12" t="s">
        <v>96</v>
      </c>
      <c r="G63" s="12" t="s">
        <v>62</v>
      </c>
      <c r="H63" s="12" t="s">
        <v>63</v>
      </c>
      <c r="I63" s="12" t="s">
        <v>77</v>
      </c>
      <c r="J63" s="12" t="s">
        <v>81</v>
      </c>
      <c r="K63" s="12">
        <v>5</v>
      </c>
    </row>
    <row r="64" spans="2:11" x14ac:dyDescent="0.25">
      <c r="B64" s="12" t="s">
        <v>141</v>
      </c>
      <c r="C64" s="13">
        <v>45367</v>
      </c>
      <c r="D64" s="12" t="s">
        <v>48</v>
      </c>
      <c r="E64" s="12" t="s">
        <v>67</v>
      </c>
      <c r="F64" s="12" t="s">
        <v>50</v>
      </c>
      <c r="G64" s="12" t="s">
        <v>57</v>
      </c>
      <c r="H64" s="12" t="s">
        <v>83</v>
      </c>
      <c r="I64" s="12" t="s">
        <v>77</v>
      </c>
      <c r="J64" s="12" t="s">
        <v>69</v>
      </c>
      <c r="K64" s="12">
        <v>2</v>
      </c>
    </row>
    <row r="65" spans="2:11" x14ac:dyDescent="0.25">
      <c r="B65" s="12" t="s">
        <v>142</v>
      </c>
      <c r="C65" s="13">
        <v>45317</v>
      </c>
      <c r="D65" s="12" t="s">
        <v>56</v>
      </c>
      <c r="E65" s="12" t="s">
        <v>67</v>
      </c>
      <c r="F65" s="12" t="s">
        <v>75</v>
      </c>
      <c r="G65" s="12" t="s">
        <v>57</v>
      </c>
      <c r="H65" s="12" t="s">
        <v>63</v>
      </c>
      <c r="I65" s="12" t="s">
        <v>64</v>
      </c>
      <c r="J65" s="12" t="s">
        <v>81</v>
      </c>
      <c r="K65" s="12">
        <v>4</v>
      </c>
    </row>
    <row r="66" spans="2:11" x14ac:dyDescent="0.25">
      <c r="B66" s="12" t="s">
        <v>143</v>
      </c>
      <c r="C66" s="13">
        <v>45426</v>
      </c>
      <c r="D66" s="12" t="s">
        <v>66</v>
      </c>
      <c r="E66" s="12" t="s">
        <v>49</v>
      </c>
      <c r="F66" s="12" t="s">
        <v>75</v>
      </c>
      <c r="G66" s="12" t="s">
        <v>76</v>
      </c>
      <c r="H66" s="12" t="s">
        <v>52</v>
      </c>
      <c r="I66" s="12" t="s">
        <v>64</v>
      </c>
      <c r="J66" s="12" t="s">
        <v>78</v>
      </c>
      <c r="K66" s="12">
        <v>2</v>
      </c>
    </row>
    <row r="67" spans="2:11" x14ac:dyDescent="0.25">
      <c r="B67" s="12" t="s">
        <v>144</v>
      </c>
      <c r="C67" s="13">
        <v>45423</v>
      </c>
      <c r="D67" s="12" t="s">
        <v>48</v>
      </c>
      <c r="E67" s="12" t="s">
        <v>72</v>
      </c>
      <c r="F67" s="12" t="s">
        <v>61</v>
      </c>
      <c r="G67" s="12" t="s">
        <v>57</v>
      </c>
      <c r="H67" s="12" t="s">
        <v>63</v>
      </c>
      <c r="I67" s="12" t="s">
        <v>64</v>
      </c>
      <c r="J67" s="12" t="s">
        <v>69</v>
      </c>
      <c r="K67" s="12">
        <v>5</v>
      </c>
    </row>
    <row r="68" spans="2:11" x14ac:dyDescent="0.25">
      <c r="B68" s="12" t="s">
        <v>145</v>
      </c>
      <c r="C68" s="13">
        <v>45355</v>
      </c>
      <c r="D68" s="12" t="s">
        <v>56</v>
      </c>
      <c r="E68" s="12" t="s">
        <v>67</v>
      </c>
      <c r="F68" s="12" t="s">
        <v>87</v>
      </c>
      <c r="G68" s="12" t="s">
        <v>57</v>
      </c>
      <c r="H68" s="12" t="s">
        <v>58</v>
      </c>
      <c r="I68" s="12" t="s">
        <v>77</v>
      </c>
      <c r="J68" s="12" t="s">
        <v>81</v>
      </c>
      <c r="K68" s="12">
        <v>5</v>
      </c>
    </row>
    <row r="69" spans="2:11" x14ac:dyDescent="0.25">
      <c r="B69" s="12" t="s">
        <v>146</v>
      </c>
      <c r="C69" s="13">
        <v>45453</v>
      </c>
      <c r="D69" s="12" t="s">
        <v>95</v>
      </c>
      <c r="E69" s="12" t="s">
        <v>72</v>
      </c>
      <c r="F69" s="12" t="s">
        <v>50</v>
      </c>
      <c r="G69" s="12" t="s">
        <v>51</v>
      </c>
      <c r="H69" s="12" t="s">
        <v>63</v>
      </c>
      <c r="I69" s="12" t="s">
        <v>88</v>
      </c>
      <c r="J69" s="12" t="s">
        <v>69</v>
      </c>
      <c r="K69" s="12">
        <v>1</v>
      </c>
    </row>
    <row r="70" spans="2:11" x14ac:dyDescent="0.25">
      <c r="B70" s="12" t="s">
        <v>147</v>
      </c>
      <c r="C70" s="13">
        <v>45301</v>
      </c>
      <c r="D70" s="12" t="s">
        <v>101</v>
      </c>
      <c r="E70" s="12" t="s">
        <v>49</v>
      </c>
      <c r="F70" s="12" t="s">
        <v>96</v>
      </c>
      <c r="G70" s="12" t="s">
        <v>76</v>
      </c>
      <c r="H70" s="12" t="s">
        <v>63</v>
      </c>
      <c r="I70" s="12" t="s">
        <v>88</v>
      </c>
      <c r="J70" s="12" t="s">
        <v>81</v>
      </c>
      <c r="K70" s="12">
        <v>4</v>
      </c>
    </row>
    <row r="71" spans="2:11" x14ac:dyDescent="0.25">
      <c r="B71" s="12" t="s">
        <v>148</v>
      </c>
      <c r="C71" s="13">
        <v>45360</v>
      </c>
      <c r="D71" s="12" t="s">
        <v>66</v>
      </c>
      <c r="E71" s="12" t="s">
        <v>92</v>
      </c>
      <c r="F71" s="12" t="s">
        <v>50</v>
      </c>
      <c r="G71" s="12" t="s">
        <v>62</v>
      </c>
      <c r="H71" s="12" t="s">
        <v>52</v>
      </c>
      <c r="I71" s="12" t="s">
        <v>77</v>
      </c>
      <c r="J71" s="12" t="s">
        <v>59</v>
      </c>
      <c r="K71" s="12">
        <v>1</v>
      </c>
    </row>
    <row r="72" spans="2:11" x14ac:dyDescent="0.25">
      <c r="B72" s="12" t="s">
        <v>149</v>
      </c>
      <c r="C72" s="13">
        <v>45367</v>
      </c>
      <c r="D72" s="12" t="s">
        <v>86</v>
      </c>
      <c r="E72" s="12" t="s">
        <v>49</v>
      </c>
      <c r="F72" s="12" t="s">
        <v>87</v>
      </c>
      <c r="G72" s="12" t="s">
        <v>62</v>
      </c>
      <c r="H72" s="12" t="s">
        <v>83</v>
      </c>
      <c r="I72" s="12" t="s">
        <v>77</v>
      </c>
      <c r="J72" s="12" t="s">
        <v>54</v>
      </c>
      <c r="K72" s="12">
        <v>2</v>
      </c>
    </row>
    <row r="73" spans="2:11" x14ac:dyDescent="0.25">
      <c r="B73" s="12" t="s">
        <v>150</v>
      </c>
      <c r="C73" s="13">
        <v>45337</v>
      </c>
      <c r="D73" s="12" t="s">
        <v>71</v>
      </c>
      <c r="E73" s="12" t="s">
        <v>67</v>
      </c>
      <c r="F73" s="12" t="s">
        <v>61</v>
      </c>
      <c r="G73" s="12" t="s">
        <v>51</v>
      </c>
      <c r="H73" s="12" t="s">
        <v>83</v>
      </c>
      <c r="I73" s="12" t="s">
        <v>64</v>
      </c>
      <c r="J73" s="12" t="s">
        <v>81</v>
      </c>
      <c r="K73" s="12">
        <v>1</v>
      </c>
    </row>
    <row r="74" spans="2:11" x14ac:dyDescent="0.25">
      <c r="B74" s="12" t="s">
        <v>151</v>
      </c>
      <c r="C74" s="13">
        <v>45417</v>
      </c>
      <c r="D74" s="12" t="s">
        <v>71</v>
      </c>
      <c r="E74" s="12" t="s">
        <v>49</v>
      </c>
      <c r="F74" s="12" t="s">
        <v>61</v>
      </c>
      <c r="G74" s="12" t="s">
        <v>62</v>
      </c>
      <c r="H74" s="12" t="s">
        <v>58</v>
      </c>
      <c r="I74" s="12" t="s">
        <v>53</v>
      </c>
      <c r="J74" s="12" t="s">
        <v>78</v>
      </c>
      <c r="K74" s="12">
        <v>3</v>
      </c>
    </row>
    <row r="75" spans="2:11" x14ac:dyDescent="0.25">
      <c r="B75" s="12" t="s">
        <v>152</v>
      </c>
      <c r="C75" s="13">
        <v>45408</v>
      </c>
      <c r="D75" s="12" t="s">
        <v>56</v>
      </c>
      <c r="E75" s="12" t="s">
        <v>72</v>
      </c>
      <c r="F75" s="12" t="s">
        <v>87</v>
      </c>
      <c r="G75" s="12" t="s">
        <v>76</v>
      </c>
      <c r="H75" s="12" t="s">
        <v>63</v>
      </c>
      <c r="I75" s="12" t="s">
        <v>53</v>
      </c>
      <c r="J75" s="12" t="s">
        <v>54</v>
      </c>
      <c r="K75" s="12">
        <v>0</v>
      </c>
    </row>
    <row r="76" spans="2:11" x14ac:dyDescent="0.25">
      <c r="B76" s="12" t="s">
        <v>153</v>
      </c>
      <c r="C76" s="13">
        <v>45302</v>
      </c>
      <c r="D76" s="12" t="s">
        <v>101</v>
      </c>
      <c r="E76" s="12" t="s">
        <v>72</v>
      </c>
      <c r="F76" s="12" t="s">
        <v>61</v>
      </c>
      <c r="G76" s="12" t="s">
        <v>57</v>
      </c>
      <c r="H76" s="12" t="s">
        <v>58</v>
      </c>
      <c r="I76" s="12" t="s">
        <v>77</v>
      </c>
      <c r="J76" s="12" t="s">
        <v>81</v>
      </c>
      <c r="K76" s="12">
        <v>4</v>
      </c>
    </row>
    <row r="77" spans="2:11" x14ac:dyDescent="0.25">
      <c r="B77" s="12" t="s">
        <v>154</v>
      </c>
      <c r="C77" s="13">
        <v>45430</v>
      </c>
      <c r="D77" s="12" t="s">
        <v>95</v>
      </c>
      <c r="E77" s="12" t="s">
        <v>90</v>
      </c>
      <c r="F77" s="12" t="s">
        <v>75</v>
      </c>
      <c r="G77" s="12" t="s">
        <v>51</v>
      </c>
      <c r="H77" s="12" t="s">
        <v>52</v>
      </c>
      <c r="I77" s="12" t="s">
        <v>77</v>
      </c>
      <c r="J77" s="12" t="s">
        <v>54</v>
      </c>
      <c r="K77" s="12">
        <v>2</v>
      </c>
    </row>
    <row r="78" spans="2:11" x14ac:dyDescent="0.25">
      <c r="B78" s="12" t="s">
        <v>155</v>
      </c>
      <c r="C78" s="13">
        <v>45448</v>
      </c>
      <c r="D78" s="12" t="s">
        <v>56</v>
      </c>
      <c r="E78" s="12" t="s">
        <v>72</v>
      </c>
      <c r="F78" s="12" t="s">
        <v>96</v>
      </c>
      <c r="G78" s="12" t="s">
        <v>76</v>
      </c>
      <c r="H78" s="12" t="s">
        <v>52</v>
      </c>
      <c r="I78" s="12" t="s">
        <v>88</v>
      </c>
      <c r="J78" s="12" t="s">
        <v>78</v>
      </c>
      <c r="K78" s="12">
        <v>4</v>
      </c>
    </row>
    <row r="79" spans="2:11" x14ac:dyDescent="0.25">
      <c r="B79" s="12" t="s">
        <v>156</v>
      </c>
      <c r="C79" s="13">
        <v>45352</v>
      </c>
      <c r="D79" s="12" t="s">
        <v>71</v>
      </c>
      <c r="E79" s="12" t="s">
        <v>72</v>
      </c>
      <c r="F79" s="12" t="s">
        <v>87</v>
      </c>
      <c r="G79" s="12" t="s">
        <v>62</v>
      </c>
      <c r="H79" s="12" t="s">
        <v>52</v>
      </c>
      <c r="I79" s="12" t="s">
        <v>77</v>
      </c>
      <c r="J79" s="12" t="s">
        <v>73</v>
      </c>
      <c r="K79" s="12">
        <v>1</v>
      </c>
    </row>
    <row r="80" spans="2:11" x14ac:dyDescent="0.25">
      <c r="B80" s="12" t="s">
        <v>157</v>
      </c>
      <c r="C80" s="13">
        <v>45460</v>
      </c>
      <c r="D80" s="12" t="s">
        <v>71</v>
      </c>
      <c r="E80" s="12" t="s">
        <v>72</v>
      </c>
      <c r="F80" s="12" t="s">
        <v>75</v>
      </c>
      <c r="G80" s="12" t="s">
        <v>51</v>
      </c>
      <c r="H80" s="12" t="s">
        <v>83</v>
      </c>
      <c r="I80" s="12" t="s">
        <v>64</v>
      </c>
      <c r="J80" s="12" t="s">
        <v>78</v>
      </c>
      <c r="K80" s="12">
        <v>3</v>
      </c>
    </row>
    <row r="81" spans="2:11" x14ac:dyDescent="0.25">
      <c r="B81" s="12" t="s">
        <v>158</v>
      </c>
      <c r="C81" s="13">
        <v>45399</v>
      </c>
      <c r="D81" s="12" t="s">
        <v>101</v>
      </c>
      <c r="E81" s="12" t="s">
        <v>92</v>
      </c>
      <c r="F81" s="12" t="s">
        <v>96</v>
      </c>
      <c r="G81" s="12" t="s">
        <v>76</v>
      </c>
      <c r="H81" s="12" t="s">
        <v>58</v>
      </c>
      <c r="I81" s="12" t="s">
        <v>53</v>
      </c>
      <c r="J81" s="12" t="s">
        <v>59</v>
      </c>
      <c r="K81" s="12">
        <v>4</v>
      </c>
    </row>
    <row r="82" spans="2:11" x14ac:dyDescent="0.25">
      <c r="B82" s="12" t="s">
        <v>159</v>
      </c>
      <c r="C82" s="13">
        <v>45437</v>
      </c>
      <c r="D82" s="12" t="s">
        <v>71</v>
      </c>
      <c r="E82" s="12" t="s">
        <v>90</v>
      </c>
      <c r="F82" s="12" t="s">
        <v>68</v>
      </c>
      <c r="G82" s="12" t="s">
        <v>76</v>
      </c>
      <c r="H82" s="12" t="s">
        <v>52</v>
      </c>
      <c r="I82" s="12" t="s">
        <v>64</v>
      </c>
      <c r="J82" s="12" t="s">
        <v>73</v>
      </c>
      <c r="K82" s="12">
        <v>4</v>
      </c>
    </row>
    <row r="83" spans="2:11" x14ac:dyDescent="0.25">
      <c r="B83" s="12" t="s">
        <v>160</v>
      </c>
      <c r="C83" s="13">
        <v>45330</v>
      </c>
      <c r="D83" s="12" t="s">
        <v>95</v>
      </c>
      <c r="E83" s="12" t="s">
        <v>90</v>
      </c>
      <c r="F83" s="12" t="s">
        <v>68</v>
      </c>
      <c r="G83" s="12" t="s">
        <v>51</v>
      </c>
      <c r="H83" s="12" t="s">
        <v>63</v>
      </c>
      <c r="I83" s="12" t="s">
        <v>77</v>
      </c>
      <c r="J83" s="12" t="s">
        <v>69</v>
      </c>
      <c r="K83" s="12">
        <v>2</v>
      </c>
    </row>
    <row r="84" spans="2:11" x14ac:dyDescent="0.25">
      <c r="B84" s="12" t="s">
        <v>161</v>
      </c>
      <c r="C84" s="13">
        <v>45382</v>
      </c>
      <c r="D84" s="12" t="s">
        <v>95</v>
      </c>
      <c r="E84" s="12" t="s">
        <v>92</v>
      </c>
      <c r="F84" s="12" t="s">
        <v>75</v>
      </c>
      <c r="G84" s="12" t="s">
        <v>51</v>
      </c>
      <c r="H84" s="12" t="s">
        <v>58</v>
      </c>
      <c r="I84" s="12" t="s">
        <v>64</v>
      </c>
      <c r="J84" s="12" t="s">
        <v>54</v>
      </c>
      <c r="K84" s="12">
        <v>0</v>
      </c>
    </row>
    <row r="85" spans="2:11" x14ac:dyDescent="0.25">
      <c r="B85" s="12" t="s">
        <v>162</v>
      </c>
      <c r="C85" s="13">
        <v>45329</v>
      </c>
      <c r="D85" s="12" t="s">
        <v>56</v>
      </c>
      <c r="E85" s="12" t="s">
        <v>67</v>
      </c>
      <c r="F85" s="12" t="s">
        <v>96</v>
      </c>
      <c r="G85" s="12" t="s">
        <v>51</v>
      </c>
      <c r="H85" s="12" t="s">
        <v>83</v>
      </c>
      <c r="I85" s="12" t="s">
        <v>77</v>
      </c>
      <c r="J85" s="12" t="s">
        <v>54</v>
      </c>
      <c r="K85" s="12">
        <v>5</v>
      </c>
    </row>
    <row r="86" spans="2:11" x14ac:dyDescent="0.25">
      <c r="B86" s="12" t="s">
        <v>163</v>
      </c>
      <c r="C86" s="13">
        <v>45375</v>
      </c>
      <c r="D86" s="12" t="s">
        <v>86</v>
      </c>
      <c r="E86" s="12" t="s">
        <v>49</v>
      </c>
      <c r="F86" s="12" t="s">
        <v>50</v>
      </c>
      <c r="G86" s="12" t="s">
        <v>76</v>
      </c>
      <c r="H86" s="12" t="s">
        <v>52</v>
      </c>
      <c r="I86" s="12" t="s">
        <v>77</v>
      </c>
      <c r="J86" s="12" t="s">
        <v>59</v>
      </c>
      <c r="K86" s="12">
        <v>4</v>
      </c>
    </row>
    <row r="87" spans="2:11" x14ac:dyDescent="0.25">
      <c r="B87" s="12" t="s">
        <v>164</v>
      </c>
      <c r="C87" s="13">
        <v>45320</v>
      </c>
      <c r="D87" s="12" t="s">
        <v>80</v>
      </c>
      <c r="E87" s="12" t="s">
        <v>67</v>
      </c>
      <c r="F87" s="12" t="s">
        <v>75</v>
      </c>
      <c r="G87" s="12" t="s">
        <v>51</v>
      </c>
      <c r="H87" s="12" t="s">
        <v>52</v>
      </c>
      <c r="I87" s="12" t="s">
        <v>88</v>
      </c>
      <c r="J87" s="12" t="s">
        <v>59</v>
      </c>
      <c r="K87" s="12">
        <v>0</v>
      </c>
    </row>
    <row r="88" spans="2:11" x14ac:dyDescent="0.25">
      <c r="B88" s="12" t="s">
        <v>165</v>
      </c>
      <c r="C88" s="13">
        <v>45404</v>
      </c>
      <c r="D88" s="12" t="s">
        <v>86</v>
      </c>
      <c r="E88" s="12" t="s">
        <v>67</v>
      </c>
      <c r="F88" s="12" t="s">
        <v>96</v>
      </c>
      <c r="G88" s="12" t="s">
        <v>62</v>
      </c>
      <c r="H88" s="12" t="s">
        <v>83</v>
      </c>
      <c r="I88" s="12" t="s">
        <v>64</v>
      </c>
      <c r="J88" s="12" t="s">
        <v>54</v>
      </c>
      <c r="K88" s="12">
        <v>3</v>
      </c>
    </row>
    <row r="89" spans="2:11" x14ac:dyDescent="0.25">
      <c r="B89" s="12" t="s">
        <v>166</v>
      </c>
      <c r="C89" s="13">
        <v>45424</v>
      </c>
      <c r="D89" s="12" t="s">
        <v>56</v>
      </c>
      <c r="E89" s="12" t="s">
        <v>90</v>
      </c>
      <c r="F89" s="12" t="s">
        <v>87</v>
      </c>
      <c r="G89" s="12" t="s">
        <v>62</v>
      </c>
      <c r="H89" s="12" t="s">
        <v>58</v>
      </c>
      <c r="I89" s="12" t="s">
        <v>53</v>
      </c>
      <c r="J89" s="12" t="s">
        <v>73</v>
      </c>
      <c r="K89" s="12">
        <v>4</v>
      </c>
    </row>
    <row r="90" spans="2:11" x14ac:dyDescent="0.25">
      <c r="B90" s="12" t="s">
        <v>167</v>
      </c>
      <c r="C90" s="13">
        <v>45319</v>
      </c>
      <c r="D90" s="12" t="s">
        <v>66</v>
      </c>
      <c r="E90" s="12" t="s">
        <v>49</v>
      </c>
      <c r="F90" s="12" t="s">
        <v>87</v>
      </c>
      <c r="G90" s="12" t="s">
        <v>76</v>
      </c>
      <c r="H90" s="12" t="s">
        <v>63</v>
      </c>
      <c r="I90" s="12" t="s">
        <v>88</v>
      </c>
      <c r="J90" s="12" t="s">
        <v>69</v>
      </c>
      <c r="K90" s="12">
        <v>2</v>
      </c>
    </row>
    <row r="91" spans="2:11" x14ac:dyDescent="0.25">
      <c r="B91" s="12" t="s">
        <v>168</v>
      </c>
      <c r="C91" s="13">
        <v>45308</v>
      </c>
      <c r="D91" s="12" t="s">
        <v>80</v>
      </c>
      <c r="E91" s="12" t="s">
        <v>72</v>
      </c>
      <c r="F91" s="12" t="s">
        <v>68</v>
      </c>
      <c r="G91" s="12" t="s">
        <v>57</v>
      </c>
      <c r="H91" s="12" t="s">
        <v>83</v>
      </c>
      <c r="I91" s="12" t="s">
        <v>88</v>
      </c>
      <c r="J91" s="12" t="s">
        <v>81</v>
      </c>
      <c r="K91" s="12">
        <v>3</v>
      </c>
    </row>
    <row r="92" spans="2:11" x14ac:dyDescent="0.25">
      <c r="B92" s="12" t="s">
        <v>169</v>
      </c>
      <c r="C92" s="13">
        <v>45302</v>
      </c>
      <c r="D92" s="12" t="s">
        <v>101</v>
      </c>
      <c r="E92" s="12" t="s">
        <v>72</v>
      </c>
      <c r="F92" s="12" t="s">
        <v>75</v>
      </c>
      <c r="G92" s="12" t="s">
        <v>51</v>
      </c>
      <c r="H92" s="12" t="s">
        <v>52</v>
      </c>
      <c r="I92" s="12" t="s">
        <v>88</v>
      </c>
      <c r="J92" s="12" t="s">
        <v>78</v>
      </c>
      <c r="K92" s="12">
        <v>2</v>
      </c>
    </row>
    <row r="93" spans="2:11" x14ac:dyDescent="0.25">
      <c r="B93" s="12" t="s">
        <v>170</v>
      </c>
      <c r="C93" s="13">
        <v>45457</v>
      </c>
      <c r="D93" s="12" t="s">
        <v>86</v>
      </c>
      <c r="E93" s="12" t="s">
        <v>72</v>
      </c>
      <c r="F93" s="12" t="s">
        <v>87</v>
      </c>
      <c r="G93" s="12" t="s">
        <v>62</v>
      </c>
      <c r="H93" s="12" t="s">
        <v>83</v>
      </c>
      <c r="I93" s="12" t="s">
        <v>53</v>
      </c>
      <c r="J93" s="12" t="s">
        <v>69</v>
      </c>
      <c r="K93" s="12">
        <v>1</v>
      </c>
    </row>
    <row r="94" spans="2:11" x14ac:dyDescent="0.25">
      <c r="B94" s="12" t="s">
        <v>171</v>
      </c>
      <c r="C94" s="13">
        <v>45373</v>
      </c>
      <c r="D94" s="12" t="s">
        <v>48</v>
      </c>
      <c r="E94" s="12" t="s">
        <v>90</v>
      </c>
      <c r="F94" s="12" t="s">
        <v>61</v>
      </c>
      <c r="G94" s="12" t="s">
        <v>62</v>
      </c>
      <c r="H94" s="12" t="s">
        <v>52</v>
      </c>
      <c r="I94" s="12" t="s">
        <v>53</v>
      </c>
      <c r="J94" s="12" t="s">
        <v>73</v>
      </c>
      <c r="K94" s="12">
        <v>2</v>
      </c>
    </row>
    <row r="95" spans="2:11" x14ac:dyDescent="0.25">
      <c r="B95" s="12" t="s">
        <v>172</v>
      </c>
      <c r="C95" s="13">
        <v>45445</v>
      </c>
      <c r="D95" s="12" t="s">
        <v>95</v>
      </c>
      <c r="E95" s="12" t="s">
        <v>90</v>
      </c>
      <c r="F95" s="12" t="s">
        <v>50</v>
      </c>
      <c r="G95" s="12" t="s">
        <v>57</v>
      </c>
      <c r="H95" s="12" t="s">
        <v>52</v>
      </c>
      <c r="I95" s="12" t="s">
        <v>77</v>
      </c>
      <c r="J95" s="12" t="s">
        <v>81</v>
      </c>
      <c r="K95" s="12">
        <v>0</v>
      </c>
    </row>
    <row r="96" spans="2:11" x14ac:dyDescent="0.25">
      <c r="B96" s="12" t="s">
        <v>173</v>
      </c>
      <c r="C96" s="13">
        <v>45294</v>
      </c>
      <c r="D96" s="12" t="s">
        <v>56</v>
      </c>
      <c r="E96" s="12" t="s">
        <v>67</v>
      </c>
      <c r="F96" s="12" t="s">
        <v>75</v>
      </c>
      <c r="G96" s="12" t="s">
        <v>51</v>
      </c>
      <c r="H96" s="12" t="s">
        <v>52</v>
      </c>
      <c r="I96" s="12" t="s">
        <v>88</v>
      </c>
      <c r="J96" s="12" t="s">
        <v>54</v>
      </c>
      <c r="K96" s="12">
        <v>1</v>
      </c>
    </row>
    <row r="97" spans="2:11" x14ac:dyDescent="0.25">
      <c r="B97" s="12" t="s">
        <v>174</v>
      </c>
      <c r="C97" s="13">
        <v>45458</v>
      </c>
      <c r="D97" s="12" t="s">
        <v>101</v>
      </c>
      <c r="E97" s="12" t="s">
        <v>92</v>
      </c>
      <c r="F97" s="12" t="s">
        <v>50</v>
      </c>
      <c r="G97" s="12" t="s">
        <v>57</v>
      </c>
      <c r="H97" s="12" t="s">
        <v>63</v>
      </c>
      <c r="I97" s="12" t="s">
        <v>64</v>
      </c>
      <c r="J97" s="12" t="s">
        <v>81</v>
      </c>
      <c r="K97" s="12">
        <v>4</v>
      </c>
    </row>
    <row r="98" spans="2:11" x14ac:dyDescent="0.25">
      <c r="B98" s="12" t="s">
        <v>175</v>
      </c>
      <c r="C98" s="13">
        <v>45369</v>
      </c>
      <c r="D98" s="12" t="s">
        <v>48</v>
      </c>
      <c r="E98" s="12" t="s">
        <v>67</v>
      </c>
      <c r="F98" s="12" t="s">
        <v>96</v>
      </c>
      <c r="G98" s="12" t="s">
        <v>51</v>
      </c>
      <c r="H98" s="12" t="s">
        <v>58</v>
      </c>
      <c r="I98" s="12" t="s">
        <v>64</v>
      </c>
      <c r="J98" s="12" t="s">
        <v>59</v>
      </c>
      <c r="K98" s="12">
        <v>1</v>
      </c>
    </row>
    <row r="99" spans="2:11" x14ac:dyDescent="0.25">
      <c r="B99" s="12" t="s">
        <v>176</v>
      </c>
      <c r="C99" s="13">
        <v>45389</v>
      </c>
      <c r="D99" s="12" t="s">
        <v>66</v>
      </c>
      <c r="E99" s="12" t="s">
        <v>92</v>
      </c>
      <c r="F99" s="12" t="s">
        <v>87</v>
      </c>
      <c r="G99" s="12" t="s">
        <v>57</v>
      </c>
      <c r="H99" s="12" t="s">
        <v>83</v>
      </c>
      <c r="I99" s="12" t="s">
        <v>88</v>
      </c>
      <c r="J99" s="12" t="s">
        <v>59</v>
      </c>
      <c r="K99" s="12">
        <v>5</v>
      </c>
    </row>
    <row r="100" spans="2:11" x14ac:dyDescent="0.25">
      <c r="B100" s="12" t="s">
        <v>177</v>
      </c>
      <c r="C100" s="13">
        <v>45456</v>
      </c>
      <c r="D100" s="12" t="s">
        <v>101</v>
      </c>
      <c r="E100" s="12" t="s">
        <v>72</v>
      </c>
      <c r="F100" s="12" t="s">
        <v>61</v>
      </c>
      <c r="G100" s="12" t="s">
        <v>51</v>
      </c>
      <c r="H100" s="12" t="s">
        <v>58</v>
      </c>
      <c r="I100" s="12" t="s">
        <v>64</v>
      </c>
      <c r="J100" s="12" t="s">
        <v>59</v>
      </c>
      <c r="K100" s="12">
        <v>0</v>
      </c>
    </row>
    <row r="101" spans="2:11" x14ac:dyDescent="0.25">
      <c r="B101" s="12" t="s">
        <v>178</v>
      </c>
      <c r="C101" s="13">
        <v>45342</v>
      </c>
      <c r="D101" s="12" t="s">
        <v>56</v>
      </c>
      <c r="E101" s="12" t="s">
        <v>67</v>
      </c>
      <c r="F101" s="12" t="s">
        <v>61</v>
      </c>
      <c r="G101" s="12" t="s">
        <v>51</v>
      </c>
      <c r="H101" s="12" t="s">
        <v>58</v>
      </c>
      <c r="I101" s="12" t="s">
        <v>77</v>
      </c>
      <c r="J101" s="12" t="s">
        <v>78</v>
      </c>
      <c r="K101" s="12">
        <v>3</v>
      </c>
    </row>
    <row r="102" spans="2:11" x14ac:dyDescent="0.25">
      <c r="B102" s="12" t="s">
        <v>179</v>
      </c>
      <c r="C102" s="13">
        <v>45313</v>
      </c>
      <c r="D102" s="12" t="s">
        <v>71</v>
      </c>
      <c r="E102" s="12" t="s">
        <v>72</v>
      </c>
      <c r="F102" s="12" t="s">
        <v>75</v>
      </c>
      <c r="G102" s="12" t="s">
        <v>51</v>
      </c>
      <c r="H102" s="12" t="s">
        <v>63</v>
      </c>
      <c r="I102" s="12" t="s">
        <v>77</v>
      </c>
      <c r="J102" s="12" t="s">
        <v>78</v>
      </c>
      <c r="K102" s="12">
        <v>5</v>
      </c>
    </row>
    <row r="103" spans="2:11" x14ac:dyDescent="0.25">
      <c r="B103" s="12" t="s">
        <v>180</v>
      </c>
      <c r="C103" s="13">
        <v>45403</v>
      </c>
      <c r="D103" s="12" t="s">
        <v>80</v>
      </c>
      <c r="E103" s="12" t="s">
        <v>90</v>
      </c>
      <c r="F103" s="12" t="s">
        <v>68</v>
      </c>
      <c r="G103" s="12" t="s">
        <v>62</v>
      </c>
      <c r="H103" s="12" t="s">
        <v>58</v>
      </c>
      <c r="I103" s="12" t="s">
        <v>64</v>
      </c>
      <c r="J103" s="12" t="s">
        <v>78</v>
      </c>
      <c r="K103" s="12">
        <v>3</v>
      </c>
    </row>
    <row r="104" spans="2:11" x14ac:dyDescent="0.25">
      <c r="B104" s="12" t="s">
        <v>181</v>
      </c>
      <c r="C104" s="13">
        <v>45390</v>
      </c>
      <c r="D104" s="12" t="s">
        <v>80</v>
      </c>
      <c r="E104" s="12" t="s">
        <v>92</v>
      </c>
      <c r="F104" s="12" t="s">
        <v>87</v>
      </c>
      <c r="G104" s="12" t="s">
        <v>62</v>
      </c>
      <c r="H104" s="12" t="s">
        <v>83</v>
      </c>
      <c r="I104" s="12" t="s">
        <v>88</v>
      </c>
      <c r="J104" s="12" t="s">
        <v>81</v>
      </c>
      <c r="K104" s="12">
        <v>0</v>
      </c>
    </row>
    <row r="105" spans="2:11" x14ac:dyDescent="0.25">
      <c r="B105" s="12" t="s">
        <v>182</v>
      </c>
      <c r="C105" s="13">
        <v>45464</v>
      </c>
      <c r="D105" s="12" t="s">
        <v>101</v>
      </c>
      <c r="E105" s="12" t="s">
        <v>49</v>
      </c>
      <c r="F105" s="12" t="s">
        <v>50</v>
      </c>
      <c r="G105" s="12" t="s">
        <v>51</v>
      </c>
      <c r="H105" s="12" t="s">
        <v>83</v>
      </c>
      <c r="I105" s="12" t="s">
        <v>77</v>
      </c>
      <c r="J105" s="12" t="s">
        <v>78</v>
      </c>
      <c r="K105" s="12">
        <v>4</v>
      </c>
    </row>
    <row r="106" spans="2:11" x14ac:dyDescent="0.25">
      <c r="B106" s="12" t="s">
        <v>183</v>
      </c>
      <c r="C106" s="13">
        <v>45317</v>
      </c>
      <c r="D106" s="12" t="s">
        <v>86</v>
      </c>
      <c r="E106" s="12" t="s">
        <v>92</v>
      </c>
      <c r="F106" s="12" t="s">
        <v>87</v>
      </c>
      <c r="G106" s="12" t="s">
        <v>62</v>
      </c>
      <c r="H106" s="12" t="s">
        <v>58</v>
      </c>
      <c r="I106" s="12" t="s">
        <v>88</v>
      </c>
      <c r="J106" s="12" t="s">
        <v>54</v>
      </c>
      <c r="K106" s="12">
        <v>2</v>
      </c>
    </row>
  </sheetData>
  <pageMargins left="0.7" right="0.7" top="0.75" bottom="0.75" header="0.3" footer="0.3"/>
  <drawing r:id="rId5"/>
  <tableParts count="1">
    <tablePart r:id="rId6"/>
  </tableParts>
  <extLst>
    <ext xmlns:x15="http://schemas.microsoft.com/office/spreadsheetml/2010/11/main" uri="{3A4CF648-6AED-40f4-86FF-DC5316D8AED3}">
      <x14:slicerList xmlns:x14="http://schemas.microsoft.com/office/spreadsheetml/2009/9/main">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4457-549F-475B-8231-5E03B80850CC}">
  <sheetPr codeName="Sheet3"/>
  <dimension ref="A3:D17"/>
  <sheetViews>
    <sheetView topLeftCell="A2" workbookViewId="0">
      <selection activeCell="F11" sqref="F11"/>
    </sheetView>
  </sheetViews>
  <sheetFormatPr defaultRowHeight="15" x14ac:dyDescent="0.25"/>
  <sheetData>
    <row r="3" spans="1:4" ht="18.75" x14ac:dyDescent="0.3">
      <c r="A3" s="4" t="s">
        <v>193</v>
      </c>
    </row>
    <row r="4" spans="1:4" ht="15.75" x14ac:dyDescent="0.25">
      <c r="A4" s="7" t="s">
        <v>194</v>
      </c>
    </row>
    <row r="5" spans="1:4" ht="15.75" x14ac:dyDescent="0.25">
      <c r="A5" s="7" t="s">
        <v>195</v>
      </c>
    </row>
    <row r="6" spans="1:4" ht="15.75" x14ac:dyDescent="0.25">
      <c r="A6" s="7" t="s">
        <v>7</v>
      </c>
    </row>
    <row r="7" spans="1:4" x14ac:dyDescent="0.25">
      <c r="C7" s="16" t="s">
        <v>196</v>
      </c>
      <c r="D7" s="16" t="s">
        <v>197</v>
      </c>
    </row>
    <row r="8" spans="1:4" x14ac:dyDescent="0.25">
      <c r="C8" s="10" t="s">
        <v>198</v>
      </c>
      <c r="D8" s="17">
        <v>5</v>
      </c>
    </row>
    <row r="9" spans="1:4" x14ac:dyDescent="0.25">
      <c r="C9" s="10" t="s">
        <v>199</v>
      </c>
      <c r="D9" s="18">
        <v>15</v>
      </c>
    </row>
    <row r="10" spans="1:4" x14ac:dyDescent="0.25">
      <c r="C10" s="10" t="s">
        <v>200</v>
      </c>
      <c r="D10" s="19">
        <v>60</v>
      </c>
    </row>
    <row r="11" spans="1:4" x14ac:dyDescent="0.25">
      <c r="C11" s="10" t="s">
        <v>201</v>
      </c>
      <c r="D11" s="17">
        <v>8</v>
      </c>
    </row>
    <row r="12" spans="1:4" x14ac:dyDescent="0.25">
      <c r="C12" s="10" t="s">
        <v>202</v>
      </c>
      <c r="D12" s="18">
        <v>45</v>
      </c>
    </row>
    <row r="13" spans="1:4" x14ac:dyDescent="0.25">
      <c r="C13" s="10" t="s">
        <v>203</v>
      </c>
      <c r="D13" s="19">
        <v>75</v>
      </c>
    </row>
    <row r="14" spans="1:4" x14ac:dyDescent="0.25">
      <c r="C14" s="10" t="s">
        <v>204</v>
      </c>
      <c r="D14" s="17">
        <v>3</v>
      </c>
    </row>
    <row r="15" spans="1:4" x14ac:dyDescent="0.25">
      <c r="C15" s="10" t="s">
        <v>205</v>
      </c>
      <c r="D15" s="18">
        <v>25</v>
      </c>
    </row>
    <row r="16" spans="1:4" x14ac:dyDescent="0.25">
      <c r="C16" s="10" t="s">
        <v>206</v>
      </c>
      <c r="D16" s="19">
        <v>55</v>
      </c>
    </row>
    <row r="17" spans="3:4" x14ac:dyDescent="0.25">
      <c r="C17" s="10" t="s">
        <v>207</v>
      </c>
      <c r="D17" s="17">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3F0D1-B924-4DBE-8A28-2A63C45D9215}">
  <dimension ref="A2:M1004"/>
  <sheetViews>
    <sheetView workbookViewId="0">
      <selection activeCell="L3" sqref="L3"/>
    </sheetView>
  </sheetViews>
  <sheetFormatPr defaultRowHeight="15" x14ac:dyDescent="0.25"/>
  <cols>
    <col min="1" max="1" width="10.7109375" bestFit="1" customWidth="1"/>
    <col min="2" max="2" width="10.42578125" bestFit="1" customWidth="1"/>
    <col min="3" max="3" width="17.7109375" bestFit="1" customWidth="1"/>
    <col min="4" max="4" width="11" bestFit="1" customWidth="1"/>
    <col min="5" max="5" width="18.5703125" bestFit="1" customWidth="1"/>
    <col min="6" max="6" width="17.7109375" bestFit="1" customWidth="1"/>
    <col min="7" max="7" width="11" bestFit="1" customWidth="1"/>
    <col min="8" max="8" width="14.85546875" bestFit="1" customWidth="1"/>
    <col min="9" max="9" width="15.7109375" bestFit="1" customWidth="1"/>
    <col min="10" max="10" width="18.5703125" bestFit="1" customWidth="1"/>
    <col min="11" max="11" width="15.85546875" bestFit="1" customWidth="1"/>
    <col min="12" max="12" width="17" bestFit="1" customWidth="1"/>
    <col min="13" max="13" width="12.140625" bestFit="1" customWidth="1"/>
  </cols>
  <sheetData>
    <row r="2" spans="1:13" ht="15.75" x14ac:dyDescent="0.25">
      <c r="B2" s="7" t="s">
        <v>208</v>
      </c>
    </row>
    <row r="3" spans="1:13" ht="15.75" x14ac:dyDescent="0.25">
      <c r="B3" s="7" t="s">
        <v>209</v>
      </c>
    </row>
    <row r="4" spans="1:13" ht="15.75" x14ac:dyDescent="0.25">
      <c r="B4" s="7" t="s">
        <v>7</v>
      </c>
    </row>
    <row r="5" spans="1:13" x14ac:dyDescent="0.25">
      <c r="A5" t="s">
        <v>210</v>
      </c>
      <c r="B5" t="s">
        <v>38</v>
      </c>
      <c r="C5" t="s">
        <v>211</v>
      </c>
      <c r="D5" t="s">
        <v>212</v>
      </c>
      <c r="E5" t="s">
        <v>213</v>
      </c>
      <c r="F5" t="s">
        <v>214</v>
      </c>
      <c r="G5" t="s">
        <v>215</v>
      </c>
      <c r="H5" t="s">
        <v>216</v>
      </c>
      <c r="I5" t="s">
        <v>217</v>
      </c>
      <c r="J5" t="s">
        <v>218</v>
      </c>
      <c r="K5" t="s">
        <v>219</v>
      </c>
      <c r="L5" t="s">
        <v>220</v>
      </c>
      <c r="M5" t="s">
        <v>330</v>
      </c>
    </row>
    <row r="6" spans="1:13" x14ac:dyDescent="0.25">
      <c r="A6">
        <v>1001</v>
      </c>
      <c r="B6" s="20">
        <v>45658</v>
      </c>
      <c r="C6" s="21" t="s">
        <v>221</v>
      </c>
      <c r="D6" s="21" t="s">
        <v>222</v>
      </c>
      <c r="E6" s="21" t="s">
        <v>223</v>
      </c>
      <c r="F6" s="21" t="s">
        <v>224</v>
      </c>
      <c r="G6">
        <v>10</v>
      </c>
      <c r="H6">
        <v>999</v>
      </c>
      <c r="I6">
        <v>999</v>
      </c>
      <c r="J6">
        <v>998001</v>
      </c>
      <c r="K6">
        <v>28</v>
      </c>
      <c r="L6" s="21" t="s">
        <v>225</v>
      </c>
      <c r="M6" t="s">
        <v>228</v>
      </c>
    </row>
    <row r="7" spans="1:13" x14ac:dyDescent="0.25">
      <c r="A7">
        <v>1003</v>
      </c>
      <c r="B7" s="20">
        <v>45660</v>
      </c>
      <c r="C7" s="21" t="s">
        <v>226</v>
      </c>
      <c r="D7" s="21" t="s">
        <v>227</v>
      </c>
      <c r="E7" s="21" t="s">
        <v>228</v>
      </c>
      <c r="F7" s="21" t="s">
        <v>229</v>
      </c>
      <c r="G7">
        <v>3</v>
      </c>
      <c r="H7">
        <v>1999</v>
      </c>
      <c r="I7">
        <v>5997</v>
      </c>
      <c r="J7">
        <v>25</v>
      </c>
      <c r="K7">
        <v>40</v>
      </c>
      <c r="L7" s="21" t="s">
        <v>230</v>
      </c>
      <c r="M7" t="s">
        <v>223</v>
      </c>
    </row>
    <row r="8" spans="1:13" x14ac:dyDescent="0.25">
      <c r="A8">
        <v>1004</v>
      </c>
      <c r="B8" s="20">
        <v>45661</v>
      </c>
      <c r="C8" s="21" t="s">
        <v>231</v>
      </c>
      <c r="D8" s="21" t="s">
        <v>232</v>
      </c>
      <c r="E8" s="21" t="s">
        <v>223</v>
      </c>
      <c r="F8" s="21" t="s">
        <v>233</v>
      </c>
      <c r="G8">
        <v>6</v>
      </c>
      <c r="H8">
        <v>2499</v>
      </c>
      <c r="I8">
        <v>9996</v>
      </c>
      <c r="J8">
        <v>30</v>
      </c>
      <c r="K8">
        <v>24</v>
      </c>
      <c r="L8" s="21" t="s">
        <v>234</v>
      </c>
    </row>
    <row r="9" spans="1:13" x14ac:dyDescent="0.25">
      <c r="A9">
        <v>1005</v>
      </c>
      <c r="B9" s="20">
        <v>45662</v>
      </c>
      <c r="C9" s="21" t="s">
        <v>235</v>
      </c>
      <c r="D9" s="21" t="s">
        <v>222</v>
      </c>
      <c r="E9" s="21" t="s">
        <v>236</v>
      </c>
      <c r="F9" s="21" t="s">
        <v>237</v>
      </c>
      <c r="G9">
        <v>8</v>
      </c>
      <c r="H9">
        <v>2999</v>
      </c>
      <c r="I9">
        <v>14995</v>
      </c>
      <c r="J9">
        <v>18</v>
      </c>
      <c r="K9">
        <v>31</v>
      </c>
      <c r="L9" s="21" t="s">
        <v>225</v>
      </c>
    </row>
    <row r="10" spans="1:13" x14ac:dyDescent="0.25">
      <c r="A10">
        <v>1006</v>
      </c>
      <c r="B10" s="20">
        <v>45663</v>
      </c>
      <c r="C10" s="21" t="s">
        <v>238</v>
      </c>
      <c r="D10" s="21" t="s">
        <v>239</v>
      </c>
      <c r="E10" s="21" t="s">
        <v>228</v>
      </c>
      <c r="F10" s="21" t="s">
        <v>240</v>
      </c>
      <c r="G10">
        <v>3</v>
      </c>
      <c r="H10">
        <v>999</v>
      </c>
      <c r="I10">
        <v>4995</v>
      </c>
      <c r="J10">
        <v>15</v>
      </c>
      <c r="K10">
        <v>29</v>
      </c>
      <c r="L10" s="21" t="s">
        <v>241</v>
      </c>
    </row>
    <row r="11" spans="1:13" x14ac:dyDescent="0.25">
      <c r="A11">
        <v>1007</v>
      </c>
      <c r="B11" s="20">
        <v>45664</v>
      </c>
      <c r="C11" s="21" t="s">
        <v>242</v>
      </c>
      <c r="D11" s="21" t="s">
        <v>227</v>
      </c>
      <c r="E11" s="21" t="s">
        <v>223</v>
      </c>
      <c r="F11" s="21" t="s">
        <v>243</v>
      </c>
      <c r="G11">
        <v>9</v>
      </c>
      <c r="H11">
        <v>1499</v>
      </c>
      <c r="I11">
        <v>2998</v>
      </c>
      <c r="J11">
        <v>20</v>
      </c>
      <c r="K11">
        <v>45</v>
      </c>
      <c r="L11" s="21" t="s">
        <v>230</v>
      </c>
    </row>
    <row r="12" spans="1:13" x14ac:dyDescent="0.25">
      <c r="A12">
        <v>1008</v>
      </c>
      <c r="B12" s="20">
        <v>45665</v>
      </c>
      <c r="C12" s="21" t="s">
        <v>244</v>
      </c>
      <c r="D12" s="21" t="s">
        <v>232</v>
      </c>
      <c r="E12" s="21" t="s">
        <v>236</v>
      </c>
      <c r="F12" s="21" t="s">
        <v>245</v>
      </c>
      <c r="G12">
        <v>5</v>
      </c>
      <c r="H12">
        <v>1999</v>
      </c>
      <c r="I12">
        <v>5997</v>
      </c>
      <c r="J12">
        <v>25</v>
      </c>
      <c r="K12">
        <v>32</v>
      </c>
      <c r="L12" s="21" t="s">
        <v>234</v>
      </c>
    </row>
    <row r="13" spans="1:13" x14ac:dyDescent="0.25">
      <c r="A13">
        <v>1009</v>
      </c>
      <c r="B13" s="20">
        <v>45666</v>
      </c>
      <c r="C13" s="21" t="s">
        <v>246</v>
      </c>
      <c r="D13" s="21" t="s">
        <v>222</v>
      </c>
      <c r="E13" s="21" t="s">
        <v>228</v>
      </c>
      <c r="F13" s="21" t="s">
        <v>247</v>
      </c>
      <c r="G13">
        <v>2</v>
      </c>
      <c r="H13">
        <v>2499</v>
      </c>
      <c r="I13">
        <v>19992</v>
      </c>
      <c r="J13">
        <v>30</v>
      </c>
      <c r="K13">
        <v>27</v>
      </c>
      <c r="L13" s="21" t="s">
        <v>225</v>
      </c>
    </row>
    <row r="14" spans="1:13" x14ac:dyDescent="0.25">
      <c r="A14">
        <v>10010</v>
      </c>
      <c r="B14" s="20">
        <v>45667</v>
      </c>
      <c r="C14" s="21" t="s">
        <v>248</v>
      </c>
      <c r="D14" s="21" t="s">
        <v>239</v>
      </c>
      <c r="E14" s="21" t="s">
        <v>223</v>
      </c>
      <c r="F14" s="21" t="s">
        <v>249</v>
      </c>
      <c r="G14">
        <v>7</v>
      </c>
      <c r="H14">
        <v>2999</v>
      </c>
      <c r="I14">
        <v>14995</v>
      </c>
      <c r="J14">
        <v>18</v>
      </c>
      <c r="K14">
        <v>39</v>
      </c>
      <c r="L14" s="21" t="s">
        <v>241</v>
      </c>
    </row>
    <row r="15" spans="1:13" x14ac:dyDescent="0.25">
      <c r="A15">
        <v>10011</v>
      </c>
      <c r="B15" s="20">
        <v>45668</v>
      </c>
      <c r="C15" s="21" t="s">
        <v>250</v>
      </c>
      <c r="D15" s="21" t="s">
        <v>227</v>
      </c>
      <c r="E15" s="21" t="s">
        <v>236</v>
      </c>
      <c r="F15" s="21" t="s">
        <v>251</v>
      </c>
      <c r="G15">
        <v>10</v>
      </c>
      <c r="H15">
        <v>999</v>
      </c>
      <c r="I15">
        <v>999</v>
      </c>
      <c r="J15">
        <v>15</v>
      </c>
      <c r="K15">
        <v>28</v>
      </c>
      <c r="L15" s="21" t="s">
        <v>230</v>
      </c>
    </row>
    <row r="16" spans="1:13" x14ac:dyDescent="0.25">
      <c r="A16">
        <v>10012</v>
      </c>
      <c r="B16" s="20">
        <v>45669</v>
      </c>
      <c r="C16" s="21" t="s">
        <v>252</v>
      </c>
      <c r="D16" s="21" t="s">
        <v>232</v>
      </c>
      <c r="E16" s="21" t="s">
        <v>228</v>
      </c>
      <c r="F16" s="21" t="s">
        <v>253</v>
      </c>
      <c r="G16">
        <v>3</v>
      </c>
      <c r="H16">
        <v>1499</v>
      </c>
      <c r="I16">
        <v>11992</v>
      </c>
      <c r="J16">
        <v>20</v>
      </c>
      <c r="K16">
        <v>35</v>
      </c>
      <c r="L16" s="21" t="s">
        <v>234</v>
      </c>
    </row>
    <row r="17" spans="1:12" x14ac:dyDescent="0.25">
      <c r="A17">
        <v>10013</v>
      </c>
      <c r="B17" s="20">
        <v>45670</v>
      </c>
      <c r="C17" s="21" t="s">
        <v>254</v>
      </c>
      <c r="D17" s="21" t="s">
        <v>222</v>
      </c>
      <c r="E17" s="21" t="s">
        <v>223</v>
      </c>
      <c r="F17" s="21" t="s">
        <v>255</v>
      </c>
      <c r="G17">
        <v>3</v>
      </c>
      <c r="H17">
        <v>1999</v>
      </c>
      <c r="I17">
        <v>5997</v>
      </c>
      <c r="J17">
        <v>25</v>
      </c>
      <c r="K17">
        <v>40</v>
      </c>
      <c r="L17" s="21" t="s">
        <v>225</v>
      </c>
    </row>
    <row r="18" spans="1:12" x14ac:dyDescent="0.25">
      <c r="A18">
        <v>10014</v>
      </c>
      <c r="B18" s="20">
        <v>45671</v>
      </c>
      <c r="C18" s="21" t="s">
        <v>256</v>
      </c>
      <c r="D18" s="21" t="s">
        <v>239</v>
      </c>
      <c r="E18" s="21" t="s">
        <v>236</v>
      </c>
      <c r="F18" s="21" t="s">
        <v>257</v>
      </c>
      <c r="G18">
        <v>6</v>
      </c>
      <c r="H18">
        <v>2499</v>
      </c>
      <c r="I18">
        <v>9996</v>
      </c>
      <c r="J18">
        <v>30</v>
      </c>
      <c r="K18">
        <v>24</v>
      </c>
      <c r="L18" s="21" t="s">
        <v>241</v>
      </c>
    </row>
    <row r="19" spans="1:12" x14ac:dyDescent="0.25">
      <c r="A19">
        <v>10015</v>
      </c>
      <c r="B19" s="20">
        <v>45672</v>
      </c>
      <c r="C19" s="21" t="s">
        <v>258</v>
      </c>
      <c r="D19" s="21" t="s">
        <v>227</v>
      </c>
      <c r="E19" s="21" t="s">
        <v>228</v>
      </c>
      <c r="F19" s="21" t="s">
        <v>259</v>
      </c>
      <c r="G19">
        <v>6</v>
      </c>
      <c r="H19">
        <v>2999</v>
      </c>
      <c r="I19">
        <v>14995</v>
      </c>
      <c r="J19">
        <v>18</v>
      </c>
      <c r="K19">
        <v>31</v>
      </c>
      <c r="L19" s="21" t="s">
        <v>230</v>
      </c>
    </row>
    <row r="20" spans="1:12" x14ac:dyDescent="0.25">
      <c r="A20">
        <v>10016</v>
      </c>
      <c r="B20" s="20">
        <v>45673</v>
      </c>
      <c r="C20" s="21" t="s">
        <v>260</v>
      </c>
      <c r="D20" s="21" t="s">
        <v>232</v>
      </c>
      <c r="E20" s="21" t="s">
        <v>223</v>
      </c>
      <c r="F20" s="21" t="s">
        <v>261</v>
      </c>
      <c r="G20">
        <v>10</v>
      </c>
      <c r="H20">
        <v>999</v>
      </c>
      <c r="I20">
        <v>5994</v>
      </c>
      <c r="J20">
        <v>15</v>
      </c>
      <c r="K20">
        <v>29</v>
      </c>
      <c r="L20" s="21" t="s">
        <v>234</v>
      </c>
    </row>
    <row r="21" spans="1:12" x14ac:dyDescent="0.25">
      <c r="A21">
        <v>10017</v>
      </c>
      <c r="B21" s="20">
        <v>45674</v>
      </c>
      <c r="C21" s="21" t="s">
        <v>262</v>
      </c>
      <c r="D21" s="21" t="s">
        <v>222</v>
      </c>
      <c r="E21" s="21" t="s">
        <v>236</v>
      </c>
      <c r="F21" s="21" t="s">
        <v>263</v>
      </c>
      <c r="G21">
        <v>4</v>
      </c>
      <c r="H21">
        <v>1499</v>
      </c>
      <c r="I21">
        <v>2998</v>
      </c>
      <c r="J21">
        <v>20</v>
      </c>
      <c r="K21">
        <v>45</v>
      </c>
      <c r="L21" s="21" t="s">
        <v>225</v>
      </c>
    </row>
    <row r="22" spans="1:12" x14ac:dyDescent="0.25">
      <c r="A22">
        <v>10018</v>
      </c>
      <c r="B22" s="20">
        <v>45675</v>
      </c>
      <c r="C22" s="21" t="s">
        <v>264</v>
      </c>
      <c r="D22" s="21" t="s">
        <v>239</v>
      </c>
      <c r="E22" s="21" t="s">
        <v>228</v>
      </c>
      <c r="F22" s="21" t="s">
        <v>265</v>
      </c>
      <c r="G22">
        <v>5</v>
      </c>
      <c r="H22">
        <v>1999</v>
      </c>
      <c r="I22">
        <v>13993</v>
      </c>
      <c r="J22">
        <v>25</v>
      </c>
      <c r="K22">
        <v>32</v>
      </c>
      <c r="L22" s="21" t="s">
        <v>241</v>
      </c>
    </row>
    <row r="23" spans="1:12" x14ac:dyDescent="0.25">
      <c r="A23">
        <v>10019</v>
      </c>
      <c r="B23" s="20">
        <v>45676</v>
      </c>
      <c r="C23" s="21" t="s">
        <v>266</v>
      </c>
      <c r="D23" s="21" t="s">
        <v>227</v>
      </c>
      <c r="E23" s="21" t="s">
        <v>223</v>
      </c>
      <c r="F23" s="21" t="s">
        <v>267</v>
      </c>
      <c r="G23">
        <v>7</v>
      </c>
      <c r="H23">
        <v>2499</v>
      </c>
      <c r="I23">
        <v>9996</v>
      </c>
      <c r="J23">
        <v>30</v>
      </c>
      <c r="K23">
        <v>27</v>
      </c>
      <c r="L23" s="21" t="s">
        <v>230</v>
      </c>
    </row>
    <row r="24" spans="1:12" x14ac:dyDescent="0.25">
      <c r="A24">
        <v>10020</v>
      </c>
      <c r="B24" s="20">
        <v>45677</v>
      </c>
      <c r="C24" s="21" t="s">
        <v>268</v>
      </c>
      <c r="D24" s="21" t="s">
        <v>232</v>
      </c>
      <c r="E24" s="21" t="s">
        <v>236</v>
      </c>
      <c r="F24" s="21" t="s">
        <v>269</v>
      </c>
      <c r="G24">
        <v>6</v>
      </c>
      <c r="H24">
        <v>2999</v>
      </c>
      <c r="I24">
        <v>14995</v>
      </c>
      <c r="J24">
        <v>18</v>
      </c>
      <c r="K24">
        <v>39</v>
      </c>
      <c r="L24" s="21" t="s">
        <v>234</v>
      </c>
    </row>
    <row r="25" spans="1:12" x14ac:dyDescent="0.25">
      <c r="A25">
        <v>10021</v>
      </c>
      <c r="B25" s="20">
        <v>45678</v>
      </c>
      <c r="C25" s="21" t="s">
        <v>270</v>
      </c>
      <c r="D25" s="21" t="s">
        <v>222</v>
      </c>
      <c r="E25" s="21" t="s">
        <v>228</v>
      </c>
      <c r="F25" s="21" t="s">
        <v>271</v>
      </c>
      <c r="G25">
        <v>7</v>
      </c>
      <c r="H25">
        <v>999</v>
      </c>
      <c r="I25">
        <v>999</v>
      </c>
      <c r="J25">
        <v>15</v>
      </c>
      <c r="K25">
        <v>28</v>
      </c>
      <c r="L25" s="21" t="s">
        <v>225</v>
      </c>
    </row>
    <row r="26" spans="1:12" x14ac:dyDescent="0.25">
      <c r="A26">
        <v>10022</v>
      </c>
      <c r="B26" s="20">
        <v>45679</v>
      </c>
      <c r="C26" s="21" t="s">
        <v>272</v>
      </c>
      <c r="D26" s="21" t="s">
        <v>239</v>
      </c>
      <c r="E26" s="21" t="s">
        <v>223</v>
      </c>
      <c r="F26" s="21" t="s">
        <v>273</v>
      </c>
      <c r="G26">
        <v>3</v>
      </c>
      <c r="H26">
        <v>1499</v>
      </c>
      <c r="I26">
        <v>17988</v>
      </c>
      <c r="J26">
        <v>20</v>
      </c>
      <c r="K26">
        <v>35</v>
      </c>
      <c r="L26" s="21" t="s">
        <v>241</v>
      </c>
    </row>
    <row r="27" spans="1:12" x14ac:dyDescent="0.25">
      <c r="A27">
        <v>10023</v>
      </c>
      <c r="B27" s="20">
        <v>45680</v>
      </c>
      <c r="C27" s="21" t="s">
        <v>274</v>
      </c>
      <c r="D27" s="21" t="s">
        <v>227</v>
      </c>
      <c r="E27" s="21" t="s">
        <v>236</v>
      </c>
      <c r="F27" s="21" t="s">
        <v>275</v>
      </c>
      <c r="G27">
        <v>4</v>
      </c>
      <c r="H27">
        <v>1999</v>
      </c>
      <c r="I27">
        <v>5997</v>
      </c>
      <c r="J27">
        <v>25</v>
      </c>
      <c r="K27">
        <v>40</v>
      </c>
      <c r="L27" s="21" t="s">
        <v>230</v>
      </c>
    </row>
    <row r="28" spans="1:12" x14ac:dyDescent="0.25">
      <c r="A28">
        <v>10024</v>
      </c>
      <c r="B28" s="20">
        <v>45681</v>
      </c>
      <c r="C28" s="21" t="s">
        <v>276</v>
      </c>
      <c r="D28" s="21" t="s">
        <v>232</v>
      </c>
      <c r="E28" s="21" t="s">
        <v>228</v>
      </c>
      <c r="F28" s="21" t="s">
        <v>277</v>
      </c>
      <c r="G28">
        <v>10</v>
      </c>
      <c r="H28">
        <v>2499</v>
      </c>
      <c r="I28">
        <v>9996</v>
      </c>
      <c r="J28">
        <v>30</v>
      </c>
      <c r="K28">
        <v>24</v>
      </c>
      <c r="L28" s="21" t="s">
        <v>234</v>
      </c>
    </row>
    <row r="29" spans="1:12" x14ac:dyDescent="0.25">
      <c r="A29">
        <v>10025</v>
      </c>
      <c r="B29" s="20">
        <v>45682</v>
      </c>
      <c r="C29" s="21" t="s">
        <v>278</v>
      </c>
      <c r="D29" s="21" t="s">
        <v>222</v>
      </c>
      <c r="E29" s="21" t="s">
        <v>223</v>
      </c>
      <c r="F29" s="21" t="s">
        <v>279</v>
      </c>
      <c r="G29">
        <v>8</v>
      </c>
      <c r="H29">
        <v>2999</v>
      </c>
      <c r="I29">
        <v>14995</v>
      </c>
      <c r="J29">
        <v>18</v>
      </c>
      <c r="K29">
        <v>31</v>
      </c>
      <c r="L29" s="21" t="s">
        <v>225</v>
      </c>
    </row>
    <row r="30" spans="1:12" x14ac:dyDescent="0.25">
      <c r="A30">
        <v>10026</v>
      </c>
      <c r="B30" s="20">
        <v>45683</v>
      </c>
      <c r="C30" s="21" t="s">
        <v>280</v>
      </c>
      <c r="D30" s="21" t="s">
        <v>239</v>
      </c>
      <c r="E30" s="21" t="s">
        <v>236</v>
      </c>
      <c r="F30" s="21" t="s">
        <v>281</v>
      </c>
      <c r="G30">
        <v>4</v>
      </c>
      <c r="H30">
        <v>999</v>
      </c>
      <c r="I30">
        <v>2997</v>
      </c>
      <c r="J30">
        <v>15</v>
      </c>
      <c r="K30">
        <v>29</v>
      </c>
      <c r="L30" s="21" t="s">
        <v>241</v>
      </c>
    </row>
    <row r="31" spans="1:12" x14ac:dyDescent="0.25">
      <c r="A31">
        <v>10027</v>
      </c>
      <c r="B31" s="20">
        <v>45684</v>
      </c>
      <c r="C31" s="21" t="s">
        <v>282</v>
      </c>
      <c r="D31" s="21" t="s">
        <v>227</v>
      </c>
      <c r="E31" s="21" t="s">
        <v>228</v>
      </c>
      <c r="F31" s="21" t="s">
        <v>283</v>
      </c>
      <c r="G31">
        <v>3</v>
      </c>
      <c r="H31">
        <v>1499</v>
      </c>
      <c r="I31">
        <v>2998</v>
      </c>
      <c r="J31">
        <v>20</v>
      </c>
      <c r="K31">
        <v>45</v>
      </c>
      <c r="L31" s="21" t="s">
        <v>230</v>
      </c>
    </row>
    <row r="32" spans="1:12" x14ac:dyDescent="0.25">
      <c r="A32">
        <v>10028</v>
      </c>
      <c r="B32" s="20">
        <v>45685</v>
      </c>
      <c r="C32" s="21" t="s">
        <v>284</v>
      </c>
      <c r="D32" s="21" t="s">
        <v>232</v>
      </c>
      <c r="E32" s="21" t="s">
        <v>223</v>
      </c>
      <c r="F32" s="21" t="s">
        <v>285</v>
      </c>
      <c r="G32">
        <v>6</v>
      </c>
      <c r="H32">
        <v>1999</v>
      </c>
      <c r="I32">
        <v>5997</v>
      </c>
      <c r="J32">
        <v>25</v>
      </c>
      <c r="K32">
        <v>32</v>
      </c>
      <c r="L32" s="21" t="s">
        <v>234</v>
      </c>
    </row>
    <row r="33" spans="1:12" x14ac:dyDescent="0.25">
      <c r="A33">
        <v>10029</v>
      </c>
      <c r="B33" s="20">
        <v>45686</v>
      </c>
      <c r="C33" s="21" t="s">
        <v>286</v>
      </c>
      <c r="D33" s="21" t="s">
        <v>222</v>
      </c>
      <c r="E33" s="21" t="s">
        <v>236</v>
      </c>
      <c r="F33" s="21" t="s">
        <v>287</v>
      </c>
      <c r="G33">
        <v>7</v>
      </c>
      <c r="H33">
        <v>2499</v>
      </c>
      <c r="I33">
        <v>9996</v>
      </c>
      <c r="J33">
        <v>30</v>
      </c>
      <c r="K33">
        <v>27</v>
      </c>
      <c r="L33" s="21" t="s">
        <v>225</v>
      </c>
    </row>
    <row r="34" spans="1:12" x14ac:dyDescent="0.25">
      <c r="A34">
        <v>10030</v>
      </c>
      <c r="B34" s="20">
        <v>45687</v>
      </c>
      <c r="C34" s="21" t="s">
        <v>288</v>
      </c>
      <c r="D34" s="21" t="s">
        <v>239</v>
      </c>
      <c r="E34" s="21" t="s">
        <v>228</v>
      </c>
      <c r="F34" s="21" t="s">
        <v>289</v>
      </c>
      <c r="G34">
        <v>6</v>
      </c>
      <c r="H34">
        <v>2999</v>
      </c>
      <c r="I34">
        <v>26991</v>
      </c>
      <c r="J34">
        <v>18</v>
      </c>
      <c r="K34">
        <v>39</v>
      </c>
      <c r="L34" s="21" t="s">
        <v>241</v>
      </c>
    </row>
    <row r="35" spans="1:12" x14ac:dyDescent="0.25">
      <c r="A35">
        <v>10031</v>
      </c>
      <c r="B35" s="20">
        <v>45688</v>
      </c>
      <c r="C35" s="21" t="s">
        <v>290</v>
      </c>
      <c r="D35" s="21" t="s">
        <v>227</v>
      </c>
      <c r="E35" s="21" t="s">
        <v>223</v>
      </c>
      <c r="F35" s="21" t="s">
        <v>291</v>
      </c>
      <c r="G35">
        <v>3</v>
      </c>
      <c r="H35">
        <v>999</v>
      </c>
      <c r="I35">
        <v>999</v>
      </c>
      <c r="J35">
        <v>15</v>
      </c>
      <c r="K35">
        <v>28</v>
      </c>
      <c r="L35" s="21" t="s">
        <v>230</v>
      </c>
    </row>
    <row r="36" spans="1:12" x14ac:dyDescent="0.25">
      <c r="A36">
        <v>10032</v>
      </c>
      <c r="B36" s="20">
        <v>45689</v>
      </c>
      <c r="C36" s="21" t="s">
        <v>292</v>
      </c>
      <c r="D36" s="21" t="s">
        <v>232</v>
      </c>
      <c r="E36" s="21" t="s">
        <v>236</v>
      </c>
      <c r="F36" s="21" t="s">
        <v>293</v>
      </c>
      <c r="G36">
        <v>3</v>
      </c>
      <c r="H36">
        <v>1499</v>
      </c>
      <c r="I36">
        <v>2998</v>
      </c>
      <c r="J36">
        <v>20</v>
      </c>
      <c r="K36">
        <v>35</v>
      </c>
      <c r="L36" s="21" t="s">
        <v>234</v>
      </c>
    </row>
    <row r="37" spans="1:12" x14ac:dyDescent="0.25">
      <c r="A37">
        <v>10033</v>
      </c>
      <c r="B37" s="20">
        <v>45690</v>
      </c>
      <c r="C37" s="21" t="s">
        <v>294</v>
      </c>
      <c r="D37" s="21" t="s">
        <v>222</v>
      </c>
      <c r="E37" s="21" t="s">
        <v>228</v>
      </c>
      <c r="F37" s="21" t="s">
        <v>295</v>
      </c>
      <c r="G37">
        <v>7</v>
      </c>
      <c r="H37">
        <v>1999</v>
      </c>
      <c r="I37">
        <v>5997</v>
      </c>
      <c r="J37">
        <v>25</v>
      </c>
      <c r="K37">
        <v>40</v>
      </c>
      <c r="L37" s="21" t="s">
        <v>225</v>
      </c>
    </row>
    <row r="38" spans="1:12" x14ac:dyDescent="0.25">
      <c r="A38">
        <v>10034</v>
      </c>
      <c r="B38" s="20">
        <v>45691</v>
      </c>
      <c r="C38" s="21" t="s">
        <v>296</v>
      </c>
      <c r="D38" s="21" t="s">
        <v>239</v>
      </c>
      <c r="E38" s="21" t="s">
        <v>223</v>
      </c>
      <c r="F38" s="21" t="s">
        <v>297</v>
      </c>
      <c r="G38">
        <v>10</v>
      </c>
      <c r="H38">
        <v>2499</v>
      </c>
      <c r="I38">
        <v>9996</v>
      </c>
      <c r="J38">
        <v>30</v>
      </c>
      <c r="K38">
        <v>24</v>
      </c>
      <c r="L38" s="21" t="s">
        <v>241</v>
      </c>
    </row>
    <row r="39" spans="1:12" x14ac:dyDescent="0.25">
      <c r="A39">
        <v>10035</v>
      </c>
      <c r="B39" s="20">
        <v>45692</v>
      </c>
      <c r="C39" s="21" t="s">
        <v>298</v>
      </c>
      <c r="D39" s="21" t="s">
        <v>227</v>
      </c>
      <c r="E39" s="21" t="s">
        <v>236</v>
      </c>
      <c r="F39" s="21" t="s">
        <v>299</v>
      </c>
      <c r="G39">
        <v>2</v>
      </c>
      <c r="H39">
        <v>2999</v>
      </c>
      <c r="I39">
        <v>14995</v>
      </c>
      <c r="J39">
        <v>18</v>
      </c>
      <c r="K39">
        <v>31</v>
      </c>
      <c r="L39" s="21" t="s">
        <v>230</v>
      </c>
    </row>
    <row r="40" spans="1:12" x14ac:dyDescent="0.25">
      <c r="A40">
        <v>10036</v>
      </c>
      <c r="B40" s="20">
        <v>45693</v>
      </c>
      <c r="C40" s="21" t="s">
        <v>300</v>
      </c>
      <c r="D40" s="21" t="s">
        <v>232</v>
      </c>
      <c r="E40" s="21" t="s">
        <v>228</v>
      </c>
      <c r="F40" s="21" t="s">
        <v>301</v>
      </c>
      <c r="G40">
        <v>6</v>
      </c>
      <c r="H40">
        <v>999</v>
      </c>
      <c r="I40">
        <v>999</v>
      </c>
      <c r="J40">
        <v>15</v>
      </c>
      <c r="K40">
        <v>29</v>
      </c>
      <c r="L40" s="21" t="s">
        <v>234</v>
      </c>
    </row>
    <row r="41" spans="1:12" x14ac:dyDescent="0.25">
      <c r="A41">
        <v>10037</v>
      </c>
      <c r="B41" s="20">
        <v>45694</v>
      </c>
      <c r="C41" s="21" t="s">
        <v>302</v>
      </c>
      <c r="D41" s="21" t="s">
        <v>222</v>
      </c>
      <c r="E41" s="21" t="s">
        <v>223</v>
      </c>
      <c r="F41" s="21" t="s">
        <v>303</v>
      </c>
      <c r="G41">
        <v>7</v>
      </c>
      <c r="H41">
        <v>1499</v>
      </c>
      <c r="I41">
        <v>2998</v>
      </c>
      <c r="J41">
        <v>20</v>
      </c>
      <c r="K41">
        <v>45</v>
      </c>
      <c r="L41" s="21" t="s">
        <v>225</v>
      </c>
    </row>
    <row r="42" spans="1:12" x14ac:dyDescent="0.25">
      <c r="A42">
        <v>10038</v>
      </c>
      <c r="B42" s="20">
        <v>45695</v>
      </c>
      <c r="C42" s="21" t="s">
        <v>304</v>
      </c>
      <c r="D42" s="21" t="s">
        <v>239</v>
      </c>
      <c r="E42" s="21" t="s">
        <v>236</v>
      </c>
      <c r="F42" s="21" t="s">
        <v>305</v>
      </c>
      <c r="G42">
        <v>10</v>
      </c>
      <c r="H42">
        <v>1999</v>
      </c>
      <c r="I42">
        <v>3998</v>
      </c>
      <c r="J42">
        <v>25</v>
      </c>
      <c r="K42">
        <v>32</v>
      </c>
      <c r="L42" s="21" t="s">
        <v>241</v>
      </c>
    </row>
    <row r="43" spans="1:12" x14ac:dyDescent="0.25">
      <c r="A43">
        <v>10039</v>
      </c>
      <c r="B43" s="20">
        <v>45696</v>
      </c>
      <c r="C43" s="21" t="s">
        <v>306</v>
      </c>
      <c r="D43" s="21" t="s">
        <v>227</v>
      </c>
      <c r="E43" s="21" t="s">
        <v>228</v>
      </c>
      <c r="F43" s="21" t="s">
        <v>307</v>
      </c>
      <c r="G43">
        <v>7</v>
      </c>
      <c r="H43">
        <v>2499</v>
      </c>
      <c r="I43">
        <v>9996</v>
      </c>
      <c r="J43">
        <v>30</v>
      </c>
      <c r="K43">
        <v>27</v>
      </c>
      <c r="L43" s="21" t="s">
        <v>230</v>
      </c>
    </row>
    <row r="44" spans="1:12" x14ac:dyDescent="0.25">
      <c r="A44">
        <v>10040</v>
      </c>
      <c r="B44" s="20">
        <v>45697</v>
      </c>
      <c r="C44" s="21" t="s">
        <v>308</v>
      </c>
      <c r="D44" s="21" t="s">
        <v>232</v>
      </c>
      <c r="E44" s="21" t="s">
        <v>223</v>
      </c>
      <c r="F44" s="21" t="s">
        <v>309</v>
      </c>
      <c r="G44">
        <v>7</v>
      </c>
      <c r="H44">
        <v>2999</v>
      </c>
      <c r="I44">
        <v>8997</v>
      </c>
      <c r="J44">
        <v>18</v>
      </c>
      <c r="K44">
        <v>39</v>
      </c>
      <c r="L44" s="21" t="s">
        <v>234</v>
      </c>
    </row>
    <row r="45" spans="1:12" x14ac:dyDescent="0.25">
      <c r="A45">
        <v>10041</v>
      </c>
      <c r="B45" s="20">
        <v>45698</v>
      </c>
      <c r="C45" s="21" t="s">
        <v>310</v>
      </c>
      <c r="D45" s="21" t="s">
        <v>222</v>
      </c>
      <c r="E45" s="21" t="s">
        <v>236</v>
      </c>
      <c r="F45" s="21" t="s">
        <v>311</v>
      </c>
      <c r="G45">
        <v>5</v>
      </c>
      <c r="H45">
        <v>999</v>
      </c>
      <c r="I45">
        <v>999</v>
      </c>
      <c r="J45">
        <v>15</v>
      </c>
      <c r="K45">
        <v>28</v>
      </c>
      <c r="L45" s="21" t="s">
        <v>225</v>
      </c>
    </row>
    <row r="46" spans="1:12" x14ac:dyDescent="0.25">
      <c r="A46">
        <v>10042</v>
      </c>
      <c r="B46" s="20">
        <v>45699</v>
      </c>
      <c r="C46" s="21" t="s">
        <v>312</v>
      </c>
      <c r="D46" s="21" t="s">
        <v>239</v>
      </c>
      <c r="E46" s="21" t="s">
        <v>228</v>
      </c>
      <c r="F46" s="21" t="s">
        <v>313</v>
      </c>
      <c r="G46">
        <v>8</v>
      </c>
      <c r="H46">
        <v>1499</v>
      </c>
      <c r="I46">
        <v>2998</v>
      </c>
      <c r="J46">
        <v>20</v>
      </c>
      <c r="K46">
        <v>35</v>
      </c>
      <c r="L46" s="21" t="s">
        <v>241</v>
      </c>
    </row>
    <row r="47" spans="1:12" x14ac:dyDescent="0.25">
      <c r="A47">
        <v>10043</v>
      </c>
      <c r="B47" s="20">
        <v>45700</v>
      </c>
      <c r="C47" s="21" t="s">
        <v>314</v>
      </c>
      <c r="D47" s="21" t="s">
        <v>227</v>
      </c>
      <c r="E47" s="21" t="s">
        <v>223</v>
      </c>
      <c r="F47" s="21" t="s">
        <v>315</v>
      </c>
      <c r="G47">
        <v>1</v>
      </c>
      <c r="H47">
        <v>1999</v>
      </c>
      <c r="I47">
        <v>5997</v>
      </c>
      <c r="J47">
        <v>25</v>
      </c>
      <c r="K47">
        <v>40</v>
      </c>
      <c r="L47" s="21" t="s">
        <v>230</v>
      </c>
    </row>
    <row r="48" spans="1:12" x14ac:dyDescent="0.25">
      <c r="A48">
        <v>10044</v>
      </c>
      <c r="B48" s="20">
        <v>45701</v>
      </c>
      <c r="C48" s="21" t="s">
        <v>316</v>
      </c>
      <c r="D48" s="21" t="s">
        <v>232</v>
      </c>
      <c r="E48" s="21" t="s">
        <v>236</v>
      </c>
      <c r="F48" s="21" t="s">
        <v>317</v>
      </c>
      <c r="G48">
        <v>6</v>
      </c>
      <c r="H48">
        <v>2499</v>
      </c>
      <c r="I48">
        <v>9996</v>
      </c>
      <c r="J48">
        <v>30</v>
      </c>
      <c r="K48">
        <v>24</v>
      </c>
      <c r="L48" s="21" t="s">
        <v>234</v>
      </c>
    </row>
    <row r="49" spans="1:12" x14ac:dyDescent="0.25">
      <c r="A49">
        <v>10045</v>
      </c>
      <c r="B49" s="20">
        <v>45702</v>
      </c>
      <c r="C49" s="21" t="s">
        <v>318</v>
      </c>
      <c r="D49" s="21" t="s">
        <v>222</v>
      </c>
      <c r="E49" s="21" t="s">
        <v>228</v>
      </c>
      <c r="F49" s="21" t="s">
        <v>319</v>
      </c>
      <c r="G49">
        <v>6</v>
      </c>
      <c r="H49">
        <v>2999</v>
      </c>
      <c r="I49">
        <v>14995</v>
      </c>
      <c r="J49">
        <v>18</v>
      </c>
      <c r="K49">
        <v>31</v>
      </c>
      <c r="L49" s="21" t="s">
        <v>225</v>
      </c>
    </row>
    <row r="50" spans="1:12" x14ac:dyDescent="0.25">
      <c r="A50">
        <v>10046</v>
      </c>
      <c r="B50" s="20">
        <v>45703</v>
      </c>
      <c r="C50" s="21" t="s">
        <v>320</v>
      </c>
      <c r="D50" s="21" t="s">
        <v>239</v>
      </c>
      <c r="E50" s="21" t="s">
        <v>223</v>
      </c>
      <c r="F50" s="21" t="s">
        <v>321</v>
      </c>
      <c r="G50">
        <v>8</v>
      </c>
      <c r="H50">
        <v>999</v>
      </c>
      <c r="I50">
        <v>1998</v>
      </c>
      <c r="J50">
        <v>15</v>
      </c>
      <c r="K50">
        <v>29</v>
      </c>
      <c r="L50" s="21" t="s">
        <v>241</v>
      </c>
    </row>
    <row r="51" spans="1:12" x14ac:dyDescent="0.25">
      <c r="A51">
        <v>10047</v>
      </c>
      <c r="B51" s="20">
        <v>45704</v>
      </c>
      <c r="C51" s="21" t="s">
        <v>322</v>
      </c>
      <c r="D51" s="21" t="s">
        <v>227</v>
      </c>
      <c r="E51" s="21" t="s">
        <v>236</v>
      </c>
      <c r="F51" s="21" t="s">
        <v>323</v>
      </c>
      <c r="G51">
        <v>4</v>
      </c>
      <c r="H51">
        <v>1499</v>
      </c>
      <c r="I51">
        <v>2998</v>
      </c>
      <c r="J51">
        <v>20</v>
      </c>
      <c r="K51">
        <v>45</v>
      </c>
      <c r="L51" s="21" t="s">
        <v>230</v>
      </c>
    </row>
    <row r="52" spans="1:12" x14ac:dyDescent="0.25">
      <c r="A52">
        <v>10048</v>
      </c>
      <c r="B52" s="20">
        <v>45705</v>
      </c>
      <c r="C52" s="21" t="s">
        <v>324</v>
      </c>
      <c r="D52" s="21" t="s">
        <v>232</v>
      </c>
      <c r="E52" s="21" t="s">
        <v>228</v>
      </c>
      <c r="F52" s="21" t="s">
        <v>325</v>
      </c>
      <c r="G52">
        <v>6</v>
      </c>
      <c r="H52">
        <v>1999</v>
      </c>
      <c r="I52">
        <v>5997</v>
      </c>
      <c r="J52">
        <v>25</v>
      </c>
      <c r="K52">
        <v>32</v>
      </c>
      <c r="L52" s="21" t="s">
        <v>234</v>
      </c>
    </row>
    <row r="53" spans="1:12" x14ac:dyDescent="0.25">
      <c r="A53">
        <v>10049</v>
      </c>
      <c r="B53" s="20">
        <v>45706</v>
      </c>
      <c r="C53" s="21" t="s">
        <v>326</v>
      </c>
      <c r="D53" s="21" t="s">
        <v>222</v>
      </c>
      <c r="E53" s="21" t="s">
        <v>223</v>
      </c>
      <c r="F53" s="21" t="s">
        <v>327</v>
      </c>
      <c r="G53">
        <v>9</v>
      </c>
      <c r="H53">
        <v>2499</v>
      </c>
      <c r="I53">
        <v>22491</v>
      </c>
      <c r="J53">
        <v>30</v>
      </c>
      <c r="K53">
        <v>27</v>
      </c>
      <c r="L53" s="21" t="s">
        <v>225</v>
      </c>
    </row>
    <row r="54" spans="1:12" x14ac:dyDescent="0.25">
      <c r="A54">
        <v>10050</v>
      </c>
      <c r="B54" s="20">
        <v>45707</v>
      </c>
      <c r="C54" s="21" t="s">
        <v>328</v>
      </c>
      <c r="D54" s="21" t="s">
        <v>239</v>
      </c>
      <c r="E54" s="21" t="s">
        <v>236</v>
      </c>
      <c r="F54" s="21" t="s">
        <v>329</v>
      </c>
      <c r="G54">
        <v>8</v>
      </c>
      <c r="H54">
        <v>2999</v>
      </c>
      <c r="I54">
        <v>14995</v>
      </c>
      <c r="J54">
        <v>18</v>
      </c>
      <c r="K54">
        <v>39</v>
      </c>
      <c r="L54" s="21" t="s">
        <v>241</v>
      </c>
    </row>
    <row r="55" spans="1:12" x14ac:dyDescent="0.25">
      <c r="B55" s="20"/>
      <c r="C55" s="21"/>
      <c r="D55" s="21"/>
      <c r="E55" s="21"/>
      <c r="F55" s="21"/>
      <c r="L55" s="21"/>
    </row>
    <row r="56" spans="1:12" x14ac:dyDescent="0.25">
      <c r="B56" s="20"/>
      <c r="C56" s="21"/>
      <c r="D56" s="21"/>
      <c r="E56" s="21"/>
      <c r="F56" s="21"/>
      <c r="L56" s="21"/>
    </row>
    <row r="57" spans="1:12" x14ac:dyDescent="0.25">
      <c r="B57" s="20"/>
      <c r="C57" s="21"/>
      <c r="D57" s="21"/>
      <c r="E57" s="21"/>
      <c r="F57" s="21"/>
      <c r="L57" s="21"/>
    </row>
    <row r="58" spans="1:12" x14ac:dyDescent="0.25">
      <c r="B58" s="20"/>
      <c r="C58" s="21"/>
      <c r="D58" s="21"/>
      <c r="E58" s="21"/>
      <c r="F58" s="21"/>
      <c r="L58" s="21"/>
    </row>
    <row r="59" spans="1:12" x14ac:dyDescent="0.25">
      <c r="B59" s="20"/>
      <c r="C59" s="21"/>
      <c r="D59" s="21"/>
      <c r="E59" s="21"/>
      <c r="F59" s="21"/>
      <c r="L59" s="21"/>
    </row>
    <row r="60" spans="1:12" x14ac:dyDescent="0.25">
      <c r="B60" s="20"/>
      <c r="C60" s="21"/>
      <c r="D60" s="21"/>
      <c r="E60" s="21"/>
      <c r="F60" s="21"/>
      <c r="L60" s="21"/>
    </row>
    <row r="61" spans="1:12" x14ac:dyDescent="0.25">
      <c r="B61" s="20"/>
      <c r="C61" s="21"/>
      <c r="D61" s="21"/>
      <c r="E61" s="21"/>
      <c r="F61" s="21"/>
      <c r="L61" s="21"/>
    </row>
    <row r="62" spans="1:12" x14ac:dyDescent="0.25">
      <c r="B62" s="20"/>
      <c r="C62" s="21"/>
      <c r="D62" s="21"/>
      <c r="E62" s="21"/>
      <c r="F62" s="21"/>
      <c r="L62" s="21"/>
    </row>
    <row r="63" spans="1:12" x14ac:dyDescent="0.25">
      <c r="B63" s="20"/>
      <c r="C63" s="21"/>
      <c r="D63" s="21"/>
      <c r="E63" s="21"/>
      <c r="F63" s="21"/>
      <c r="L63" s="21"/>
    </row>
    <row r="64" spans="1:12" x14ac:dyDescent="0.25">
      <c r="B64" s="20"/>
      <c r="C64" s="21"/>
      <c r="D64" s="21"/>
      <c r="E64" s="21"/>
      <c r="F64" s="21"/>
      <c r="L64" s="21"/>
    </row>
    <row r="65" spans="2:12" x14ac:dyDescent="0.25">
      <c r="B65" s="20"/>
      <c r="C65" s="21"/>
      <c r="D65" s="21"/>
      <c r="E65" s="21"/>
      <c r="F65" s="21"/>
      <c r="L65" s="21"/>
    </row>
    <row r="66" spans="2:12" x14ac:dyDescent="0.25">
      <c r="B66" s="20"/>
      <c r="C66" s="21"/>
      <c r="D66" s="21"/>
      <c r="E66" s="21"/>
      <c r="F66" s="21"/>
      <c r="L66" s="21"/>
    </row>
    <row r="67" spans="2:12" x14ac:dyDescent="0.25">
      <c r="B67" s="20"/>
      <c r="C67" s="21"/>
      <c r="D67" s="21"/>
      <c r="E67" s="21"/>
      <c r="F67" s="21"/>
      <c r="L67" s="21"/>
    </row>
    <row r="68" spans="2:12" x14ac:dyDescent="0.25">
      <c r="B68" s="20"/>
      <c r="C68" s="21"/>
      <c r="D68" s="21"/>
      <c r="E68" s="21"/>
      <c r="F68" s="21"/>
      <c r="L68" s="21"/>
    </row>
    <row r="69" spans="2:12" x14ac:dyDescent="0.25">
      <c r="B69" s="20"/>
      <c r="C69" s="21"/>
      <c r="D69" s="21"/>
      <c r="E69" s="21"/>
      <c r="F69" s="21"/>
      <c r="L69" s="21"/>
    </row>
    <row r="70" spans="2:12" x14ac:dyDescent="0.25">
      <c r="B70" s="20"/>
      <c r="C70" s="21"/>
      <c r="D70" s="21"/>
      <c r="E70" s="21"/>
      <c r="F70" s="21"/>
      <c r="L70" s="21"/>
    </row>
    <row r="71" spans="2:12" x14ac:dyDescent="0.25">
      <c r="B71" s="20"/>
      <c r="C71" s="21"/>
      <c r="D71" s="21"/>
      <c r="E71" s="21"/>
      <c r="F71" s="21"/>
      <c r="L71" s="21"/>
    </row>
    <row r="72" spans="2:12" x14ac:dyDescent="0.25">
      <c r="B72" s="20"/>
      <c r="C72" s="21"/>
      <c r="D72" s="21"/>
      <c r="E72" s="21"/>
      <c r="F72" s="21"/>
      <c r="L72" s="21"/>
    </row>
    <row r="73" spans="2:12" x14ac:dyDescent="0.25">
      <c r="B73" s="20"/>
      <c r="C73" s="21"/>
      <c r="D73" s="21"/>
      <c r="E73" s="21"/>
      <c r="F73" s="21"/>
      <c r="L73" s="21"/>
    </row>
    <row r="74" spans="2:12" x14ac:dyDescent="0.25">
      <c r="B74" s="20"/>
      <c r="C74" s="21"/>
      <c r="D74" s="21"/>
      <c r="E74" s="21"/>
      <c r="F74" s="21"/>
      <c r="L74" s="21"/>
    </row>
    <row r="75" spans="2:12" x14ac:dyDescent="0.25">
      <c r="B75" s="20"/>
      <c r="C75" s="21"/>
      <c r="D75" s="21"/>
      <c r="E75" s="21"/>
      <c r="F75" s="21"/>
      <c r="L75" s="21"/>
    </row>
    <row r="76" spans="2:12" x14ac:dyDescent="0.25">
      <c r="B76" s="20"/>
      <c r="C76" s="21"/>
      <c r="D76" s="21"/>
      <c r="E76" s="21"/>
      <c r="F76" s="21"/>
      <c r="L76" s="21"/>
    </row>
    <row r="77" spans="2:12" x14ac:dyDescent="0.25">
      <c r="B77" s="20"/>
      <c r="C77" s="21"/>
      <c r="D77" s="21"/>
      <c r="E77" s="21"/>
      <c r="F77" s="21"/>
      <c r="L77" s="21"/>
    </row>
    <row r="78" spans="2:12" x14ac:dyDescent="0.25">
      <c r="B78" s="20"/>
      <c r="C78" s="21"/>
      <c r="D78" s="21"/>
      <c r="E78" s="21"/>
      <c r="F78" s="21"/>
      <c r="L78" s="21"/>
    </row>
    <row r="79" spans="2:12" x14ac:dyDescent="0.25">
      <c r="B79" s="20"/>
      <c r="C79" s="21"/>
      <c r="D79" s="21"/>
      <c r="E79" s="21"/>
      <c r="F79" s="21"/>
      <c r="L79" s="21"/>
    </row>
    <row r="80" spans="2:12" x14ac:dyDescent="0.25">
      <c r="B80" s="20"/>
      <c r="C80" s="21"/>
      <c r="D80" s="21"/>
      <c r="E80" s="21"/>
      <c r="F80" s="21"/>
      <c r="L80" s="21"/>
    </row>
    <row r="81" spans="2:12" x14ac:dyDescent="0.25">
      <c r="B81" s="20"/>
      <c r="C81" s="21"/>
      <c r="D81" s="21"/>
      <c r="E81" s="21"/>
      <c r="F81" s="21"/>
      <c r="L81" s="21"/>
    </row>
    <row r="82" spans="2:12" x14ac:dyDescent="0.25">
      <c r="B82" s="20"/>
      <c r="C82" s="21"/>
      <c r="D82" s="21"/>
      <c r="E82" s="21"/>
      <c r="F82" s="21"/>
      <c r="L82" s="21"/>
    </row>
    <row r="83" spans="2:12" x14ac:dyDescent="0.25">
      <c r="B83" s="20"/>
      <c r="C83" s="21"/>
      <c r="D83" s="21"/>
      <c r="E83" s="21"/>
      <c r="F83" s="21"/>
      <c r="L83" s="21"/>
    </row>
    <row r="84" spans="2:12" x14ac:dyDescent="0.25">
      <c r="B84" s="20"/>
      <c r="C84" s="21"/>
      <c r="D84" s="21"/>
      <c r="E84" s="21"/>
      <c r="F84" s="21"/>
      <c r="L84" s="21"/>
    </row>
    <row r="85" spans="2:12" x14ac:dyDescent="0.25">
      <c r="B85" s="20"/>
      <c r="C85" s="21"/>
      <c r="D85" s="21"/>
      <c r="E85" s="21"/>
      <c r="F85" s="21"/>
      <c r="L85" s="21"/>
    </row>
    <row r="86" spans="2:12" x14ac:dyDescent="0.25">
      <c r="B86" s="20"/>
      <c r="C86" s="21"/>
      <c r="D86" s="21"/>
      <c r="E86" s="21"/>
      <c r="F86" s="21"/>
      <c r="L86" s="21"/>
    </row>
    <row r="87" spans="2:12" x14ac:dyDescent="0.25">
      <c r="B87" s="20"/>
      <c r="C87" s="21"/>
      <c r="D87" s="21"/>
      <c r="E87" s="21"/>
      <c r="F87" s="21"/>
      <c r="L87" s="21"/>
    </row>
    <row r="88" spans="2:12" x14ac:dyDescent="0.25">
      <c r="B88" s="20"/>
      <c r="C88" s="21"/>
      <c r="D88" s="21"/>
      <c r="E88" s="21"/>
      <c r="F88" s="21"/>
      <c r="L88" s="21"/>
    </row>
    <row r="89" spans="2:12" x14ac:dyDescent="0.25">
      <c r="B89" s="20"/>
      <c r="C89" s="21"/>
      <c r="D89" s="21"/>
      <c r="E89" s="21"/>
      <c r="F89" s="21"/>
      <c r="L89" s="21"/>
    </row>
    <row r="90" spans="2:12" x14ac:dyDescent="0.25">
      <c r="B90" s="20"/>
      <c r="C90" s="21"/>
      <c r="D90" s="21"/>
      <c r="E90" s="21"/>
      <c r="F90" s="21"/>
      <c r="L90" s="21"/>
    </row>
    <row r="91" spans="2:12" x14ac:dyDescent="0.25">
      <c r="B91" s="20"/>
      <c r="C91" s="21"/>
      <c r="D91" s="21"/>
      <c r="E91" s="21"/>
      <c r="F91" s="21"/>
      <c r="L91" s="21"/>
    </row>
    <row r="92" spans="2:12" x14ac:dyDescent="0.25">
      <c r="B92" s="20"/>
      <c r="C92" s="21"/>
      <c r="D92" s="21"/>
      <c r="E92" s="21"/>
      <c r="F92" s="21"/>
      <c r="L92" s="21"/>
    </row>
    <row r="93" spans="2:12" x14ac:dyDescent="0.25">
      <c r="B93" s="20"/>
      <c r="C93" s="21"/>
      <c r="D93" s="21"/>
      <c r="E93" s="21"/>
      <c r="F93" s="21"/>
      <c r="L93" s="21"/>
    </row>
    <row r="94" spans="2:12" x14ac:dyDescent="0.25">
      <c r="B94" s="20"/>
      <c r="C94" s="21"/>
      <c r="D94" s="21"/>
      <c r="E94" s="21"/>
      <c r="F94" s="21"/>
      <c r="L94" s="21"/>
    </row>
    <row r="95" spans="2:12" x14ac:dyDescent="0.25">
      <c r="B95" s="20"/>
      <c r="C95" s="21"/>
      <c r="D95" s="21"/>
      <c r="E95" s="21"/>
      <c r="F95" s="21"/>
      <c r="L95" s="21"/>
    </row>
    <row r="96" spans="2:12" x14ac:dyDescent="0.25">
      <c r="B96" s="20"/>
      <c r="C96" s="21"/>
      <c r="D96" s="21"/>
      <c r="E96" s="21"/>
      <c r="F96" s="21"/>
      <c r="L96" s="21"/>
    </row>
    <row r="97" spans="2:12" x14ac:dyDescent="0.25">
      <c r="B97" s="20"/>
      <c r="C97" s="21"/>
      <c r="D97" s="21"/>
      <c r="E97" s="21"/>
      <c r="F97" s="21"/>
      <c r="L97" s="21"/>
    </row>
    <row r="98" spans="2:12" x14ac:dyDescent="0.25">
      <c r="B98" s="20"/>
      <c r="C98" s="21"/>
      <c r="D98" s="21"/>
      <c r="E98" s="21"/>
      <c r="F98" s="21"/>
      <c r="L98" s="21"/>
    </row>
    <row r="99" spans="2:12" x14ac:dyDescent="0.25">
      <c r="B99" s="20"/>
      <c r="C99" s="21"/>
      <c r="D99" s="21"/>
      <c r="E99" s="21"/>
      <c r="F99" s="21"/>
      <c r="L99" s="21"/>
    </row>
    <row r="100" spans="2:12" x14ac:dyDescent="0.25">
      <c r="B100" s="20"/>
      <c r="C100" s="21"/>
      <c r="D100" s="21"/>
      <c r="E100" s="21"/>
      <c r="F100" s="21"/>
      <c r="L100" s="21"/>
    </row>
    <row r="101" spans="2:12" x14ac:dyDescent="0.25">
      <c r="B101" s="20"/>
      <c r="C101" s="21"/>
      <c r="D101" s="21"/>
      <c r="E101" s="21"/>
      <c r="F101" s="21"/>
      <c r="L101" s="21"/>
    </row>
    <row r="102" spans="2:12" x14ac:dyDescent="0.25">
      <c r="B102" s="20"/>
      <c r="C102" s="21"/>
      <c r="D102" s="21"/>
      <c r="E102" s="21"/>
      <c r="F102" s="21"/>
      <c r="L102" s="21"/>
    </row>
    <row r="103" spans="2:12" x14ac:dyDescent="0.25">
      <c r="B103" s="20"/>
      <c r="C103" s="21"/>
      <c r="D103" s="21"/>
      <c r="E103" s="21"/>
      <c r="F103" s="21"/>
      <c r="L103" s="21"/>
    </row>
    <row r="104" spans="2:12" x14ac:dyDescent="0.25">
      <c r="B104" s="20"/>
      <c r="C104" s="21"/>
      <c r="D104" s="21"/>
      <c r="E104" s="21"/>
      <c r="F104" s="21"/>
      <c r="L104" s="21"/>
    </row>
    <row r="105" spans="2:12" x14ac:dyDescent="0.25">
      <c r="B105" s="20"/>
      <c r="C105" s="21"/>
      <c r="D105" s="21"/>
      <c r="E105" s="21"/>
      <c r="F105" s="21"/>
      <c r="L105" s="21"/>
    </row>
    <row r="106" spans="2:12" x14ac:dyDescent="0.25">
      <c r="B106" s="20"/>
      <c r="C106" s="21"/>
      <c r="D106" s="21"/>
      <c r="E106" s="21"/>
      <c r="F106" s="21"/>
      <c r="L106" s="21"/>
    </row>
    <row r="107" spans="2:12" x14ac:dyDescent="0.25">
      <c r="B107" s="20"/>
      <c r="C107" s="21"/>
      <c r="D107" s="21"/>
      <c r="E107" s="21"/>
      <c r="F107" s="21"/>
      <c r="L107" s="21"/>
    </row>
    <row r="108" spans="2:12" x14ac:dyDescent="0.25">
      <c r="B108" s="20"/>
      <c r="C108" s="21"/>
      <c r="D108" s="21"/>
      <c r="E108" s="21"/>
      <c r="F108" s="21"/>
      <c r="L108" s="21"/>
    </row>
    <row r="109" spans="2:12" x14ac:dyDescent="0.25">
      <c r="B109" s="20"/>
      <c r="C109" s="21"/>
      <c r="D109" s="21"/>
      <c r="E109" s="21"/>
      <c r="F109" s="21"/>
      <c r="L109" s="21"/>
    </row>
    <row r="110" spans="2:12" x14ac:dyDescent="0.25">
      <c r="B110" s="20"/>
      <c r="C110" s="21"/>
      <c r="D110" s="21"/>
      <c r="E110" s="21"/>
      <c r="F110" s="21"/>
      <c r="L110" s="21"/>
    </row>
    <row r="111" spans="2:12" x14ac:dyDescent="0.25">
      <c r="B111" s="20"/>
      <c r="C111" s="21"/>
      <c r="D111" s="21"/>
      <c r="E111" s="21"/>
      <c r="F111" s="21"/>
      <c r="L111" s="21"/>
    </row>
    <row r="112" spans="2:12" x14ac:dyDescent="0.25">
      <c r="B112" s="20"/>
      <c r="C112" s="21"/>
      <c r="D112" s="21"/>
      <c r="E112" s="21"/>
      <c r="F112" s="21"/>
      <c r="L112" s="21"/>
    </row>
    <row r="113" spans="2:12" x14ac:dyDescent="0.25">
      <c r="B113" s="20"/>
      <c r="C113" s="21"/>
      <c r="D113" s="21"/>
      <c r="E113" s="21"/>
      <c r="F113" s="21"/>
      <c r="L113" s="21"/>
    </row>
    <row r="114" spans="2:12" x14ac:dyDescent="0.25">
      <c r="B114" s="20"/>
      <c r="C114" s="21"/>
      <c r="D114" s="21"/>
      <c r="E114" s="21"/>
      <c r="F114" s="21"/>
      <c r="L114" s="21"/>
    </row>
    <row r="115" spans="2:12" x14ac:dyDescent="0.25">
      <c r="B115" s="20"/>
      <c r="C115" s="21"/>
      <c r="D115" s="21"/>
      <c r="E115" s="21"/>
      <c r="F115" s="21"/>
      <c r="L115" s="21"/>
    </row>
    <row r="116" spans="2:12" x14ac:dyDescent="0.25">
      <c r="B116" s="20"/>
      <c r="C116" s="21"/>
      <c r="D116" s="21"/>
      <c r="E116" s="21"/>
      <c r="F116" s="21"/>
      <c r="L116" s="21"/>
    </row>
    <row r="117" spans="2:12" x14ac:dyDescent="0.25">
      <c r="B117" s="20"/>
      <c r="C117" s="21"/>
      <c r="D117" s="21"/>
      <c r="E117" s="21"/>
      <c r="F117" s="21"/>
      <c r="L117" s="21"/>
    </row>
    <row r="118" spans="2:12" x14ac:dyDescent="0.25">
      <c r="B118" s="20"/>
      <c r="C118" s="21"/>
      <c r="D118" s="21"/>
      <c r="E118" s="21"/>
      <c r="F118" s="21"/>
      <c r="L118" s="21"/>
    </row>
    <row r="119" spans="2:12" x14ac:dyDescent="0.25">
      <c r="B119" s="20"/>
      <c r="C119" s="21"/>
      <c r="D119" s="21"/>
      <c r="E119" s="21"/>
      <c r="F119" s="21"/>
      <c r="L119" s="21"/>
    </row>
    <row r="120" spans="2:12" x14ac:dyDescent="0.25">
      <c r="B120" s="20"/>
      <c r="C120" s="21"/>
      <c r="D120" s="21"/>
      <c r="E120" s="21"/>
      <c r="F120" s="21"/>
      <c r="L120" s="21"/>
    </row>
    <row r="121" spans="2:12" x14ac:dyDescent="0.25">
      <c r="B121" s="20"/>
      <c r="C121" s="21"/>
      <c r="D121" s="21"/>
      <c r="E121" s="21"/>
      <c r="F121" s="21"/>
      <c r="L121" s="21"/>
    </row>
    <row r="122" spans="2:12" x14ac:dyDescent="0.25">
      <c r="B122" s="20"/>
      <c r="C122" s="21"/>
      <c r="D122" s="21"/>
      <c r="E122" s="21"/>
      <c r="F122" s="21"/>
      <c r="L122" s="21"/>
    </row>
    <row r="123" spans="2:12" x14ac:dyDescent="0.25">
      <c r="B123" s="20"/>
      <c r="C123" s="21"/>
      <c r="D123" s="21"/>
      <c r="E123" s="21"/>
      <c r="F123" s="21"/>
      <c r="L123" s="21"/>
    </row>
    <row r="124" spans="2:12" x14ac:dyDescent="0.25">
      <c r="B124" s="20"/>
      <c r="C124" s="21"/>
      <c r="D124" s="21"/>
      <c r="E124" s="21"/>
      <c r="F124" s="21"/>
      <c r="L124" s="21"/>
    </row>
    <row r="125" spans="2:12" x14ac:dyDescent="0.25">
      <c r="B125" s="20"/>
      <c r="C125" s="21"/>
      <c r="D125" s="21"/>
      <c r="E125" s="21"/>
      <c r="F125" s="21"/>
      <c r="L125" s="21"/>
    </row>
    <row r="126" spans="2:12" x14ac:dyDescent="0.25">
      <c r="B126" s="20"/>
      <c r="C126" s="21"/>
      <c r="D126" s="21"/>
      <c r="E126" s="21"/>
      <c r="F126" s="21"/>
      <c r="L126" s="21"/>
    </row>
    <row r="127" spans="2:12" x14ac:dyDescent="0.25">
      <c r="B127" s="20"/>
      <c r="C127" s="21"/>
      <c r="D127" s="21"/>
      <c r="E127" s="21"/>
      <c r="F127" s="21"/>
      <c r="L127" s="21"/>
    </row>
    <row r="128" spans="2:12" x14ac:dyDescent="0.25">
      <c r="B128" s="20"/>
      <c r="C128" s="21"/>
      <c r="D128" s="21"/>
      <c r="E128" s="21"/>
      <c r="F128" s="21"/>
      <c r="L128" s="21"/>
    </row>
    <row r="129" spans="2:12" x14ac:dyDescent="0.25">
      <c r="B129" s="20"/>
      <c r="C129" s="21"/>
      <c r="D129" s="21"/>
      <c r="E129" s="21"/>
      <c r="F129" s="21"/>
      <c r="L129" s="21"/>
    </row>
    <row r="130" spans="2:12" x14ac:dyDescent="0.25">
      <c r="B130" s="20"/>
      <c r="C130" s="21"/>
      <c r="D130" s="21"/>
      <c r="E130" s="21"/>
      <c r="F130" s="21"/>
      <c r="L130" s="21"/>
    </row>
    <row r="131" spans="2:12" x14ac:dyDescent="0.25">
      <c r="B131" s="20"/>
      <c r="C131" s="21"/>
      <c r="D131" s="21"/>
      <c r="E131" s="21"/>
      <c r="F131" s="21"/>
      <c r="L131" s="21"/>
    </row>
    <row r="132" spans="2:12" x14ac:dyDescent="0.25">
      <c r="B132" s="20"/>
      <c r="C132" s="21"/>
      <c r="D132" s="21"/>
      <c r="E132" s="21"/>
      <c r="F132" s="21"/>
      <c r="L132" s="21"/>
    </row>
    <row r="133" spans="2:12" x14ac:dyDescent="0.25">
      <c r="B133" s="20"/>
      <c r="C133" s="21"/>
      <c r="D133" s="21"/>
      <c r="E133" s="21"/>
      <c r="F133" s="21"/>
      <c r="L133" s="21"/>
    </row>
    <row r="134" spans="2:12" x14ac:dyDescent="0.25">
      <c r="B134" s="20"/>
      <c r="C134" s="21"/>
      <c r="D134" s="21"/>
      <c r="E134" s="21"/>
      <c r="F134" s="21"/>
      <c r="L134" s="21"/>
    </row>
    <row r="135" spans="2:12" x14ac:dyDescent="0.25">
      <c r="B135" s="20"/>
      <c r="C135" s="21"/>
      <c r="D135" s="21"/>
      <c r="E135" s="21"/>
      <c r="F135" s="21"/>
      <c r="L135" s="21"/>
    </row>
    <row r="136" spans="2:12" x14ac:dyDescent="0.25">
      <c r="B136" s="20"/>
      <c r="C136" s="21"/>
      <c r="D136" s="21"/>
      <c r="E136" s="21"/>
      <c r="F136" s="21"/>
      <c r="L136" s="21"/>
    </row>
    <row r="137" spans="2:12" x14ac:dyDescent="0.25">
      <c r="B137" s="20"/>
      <c r="C137" s="21"/>
      <c r="D137" s="21"/>
      <c r="E137" s="21"/>
      <c r="F137" s="21"/>
      <c r="L137" s="21"/>
    </row>
    <row r="138" spans="2:12" x14ac:dyDescent="0.25">
      <c r="B138" s="20"/>
      <c r="C138" s="21"/>
      <c r="D138" s="21"/>
      <c r="E138" s="21"/>
      <c r="F138" s="21"/>
      <c r="L138" s="21"/>
    </row>
    <row r="139" spans="2:12" x14ac:dyDescent="0.25">
      <c r="B139" s="20"/>
      <c r="C139" s="21"/>
      <c r="D139" s="21"/>
      <c r="E139" s="21"/>
      <c r="F139" s="21"/>
      <c r="L139" s="21"/>
    </row>
    <row r="140" spans="2:12" x14ac:dyDescent="0.25">
      <c r="B140" s="20"/>
      <c r="C140" s="21"/>
      <c r="D140" s="21"/>
      <c r="E140" s="21"/>
      <c r="F140" s="21"/>
      <c r="L140" s="21"/>
    </row>
    <row r="141" spans="2:12" x14ac:dyDescent="0.25">
      <c r="B141" s="20"/>
      <c r="C141" s="21"/>
      <c r="D141" s="21"/>
      <c r="E141" s="21"/>
      <c r="F141" s="21"/>
      <c r="L141" s="21"/>
    </row>
    <row r="142" spans="2:12" x14ac:dyDescent="0.25">
      <c r="B142" s="20"/>
      <c r="C142" s="21"/>
      <c r="D142" s="21"/>
      <c r="E142" s="21"/>
      <c r="F142" s="21"/>
      <c r="L142" s="21"/>
    </row>
    <row r="143" spans="2:12" x14ac:dyDescent="0.25">
      <c r="B143" s="20"/>
      <c r="C143" s="21"/>
      <c r="D143" s="21"/>
      <c r="E143" s="21"/>
      <c r="F143" s="21"/>
      <c r="L143" s="21"/>
    </row>
    <row r="144" spans="2:12" x14ac:dyDescent="0.25">
      <c r="B144" s="20"/>
      <c r="C144" s="21"/>
      <c r="D144" s="21"/>
      <c r="E144" s="21"/>
      <c r="F144" s="21"/>
      <c r="L144" s="21"/>
    </row>
    <row r="145" spans="2:12" x14ac:dyDescent="0.25">
      <c r="B145" s="20"/>
      <c r="C145" s="21"/>
      <c r="D145" s="21"/>
      <c r="E145" s="21"/>
      <c r="F145" s="21"/>
      <c r="L145" s="21"/>
    </row>
    <row r="146" spans="2:12" x14ac:dyDescent="0.25">
      <c r="B146" s="20"/>
      <c r="C146" s="21"/>
      <c r="D146" s="21"/>
      <c r="E146" s="21"/>
      <c r="F146" s="21"/>
      <c r="L146" s="21"/>
    </row>
    <row r="147" spans="2:12" x14ac:dyDescent="0.25">
      <c r="B147" s="20"/>
      <c r="C147" s="21"/>
      <c r="D147" s="21"/>
      <c r="E147" s="21"/>
      <c r="F147" s="21"/>
      <c r="L147" s="21"/>
    </row>
    <row r="148" spans="2:12" x14ac:dyDescent="0.25">
      <c r="B148" s="20"/>
      <c r="C148" s="21"/>
      <c r="D148" s="21"/>
      <c r="E148" s="21"/>
      <c r="F148" s="21"/>
      <c r="L148" s="21"/>
    </row>
    <row r="149" spans="2:12" x14ac:dyDescent="0.25">
      <c r="B149" s="20"/>
      <c r="C149" s="21"/>
      <c r="D149" s="21"/>
      <c r="E149" s="21"/>
      <c r="F149" s="21"/>
      <c r="L149" s="21"/>
    </row>
    <row r="150" spans="2:12" x14ac:dyDescent="0.25">
      <c r="B150" s="20"/>
      <c r="C150" s="21"/>
      <c r="D150" s="21"/>
      <c r="E150" s="21"/>
      <c r="F150" s="21"/>
      <c r="L150" s="21"/>
    </row>
    <row r="151" spans="2:12" x14ac:dyDescent="0.25">
      <c r="B151" s="20"/>
      <c r="C151" s="21"/>
      <c r="D151" s="21"/>
      <c r="E151" s="21"/>
      <c r="F151" s="21"/>
      <c r="L151" s="21"/>
    </row>
    <row r="152" spans="2:12" x14ac:dyDescent="0.25">
      <c r="B152" s="20"/>
      <c r="C152" s="21"/>
      <c r="D152" s="21"/>
      <c r="E152" s="21"/>
      <c r="F152" s="21"/>
      <c r="L152" s="21"/>
    </row>
    <row r="153" spans="2:12" x14ac:dyDescent="0.25">
      <c r="B153" s="20"/>
      <c r="C153" s="21"/>
      <c r="D153" s="21"/>
      <c r="E153" s="21"/>
      <c r="F153" s="21"/>
      <c r="L153" s="21"/>
    </row>
    <row r="154" spans="2:12" x14ac:dyDescent="0.25">
      <c r="B154" s="20"/>
      <c r="C154" s="21"/>
      <c r="D154" s="21"/>
      <c r="E154" s="21"/>
      <c r="F154" s="21"/>
      <c r="L154" s="21"/>
    </row>
    <row r="155" spans="2:12" x14ac:dyDescent="0.25">
      <c r="B155" s="20"/>
      <c r="C155" s="21"/>
      <c r="D155" s="21"/>
      <c r="E155" s="21"/>
      <c r="F155" s="21"/>
      <c r="L155" s="21"/>
    </row>
    <row r="156" spans="2:12" x14ac:dyDescent="0.25">
      <c r="B156" s="20"/>
      <c r="C156" s="21"/>
      <c r="D156" s="21"/>
      <c r="E156" s="21"/>
      <c r="F156" s="21"/>
      <c r="L156" s="21"/>
    </row>
    <row r="157" spans="2:12" x14ac:dyDescent="0.25">
      <c r="B157" s="20"/>
      <c r="C157" s="21"/>
      <c r="D157" s="21"/>
      <c r="E157" s="21"/>
      <c r="F157" s="21"/>
      <c r="L157" s="21"/>
    </row>
    <row r="158" spans="2:12" x14ac:dyDescent="0.25">
      <c r="B158" s="20"/>
      <c r="C158" s="21"/>
      <c r="D158" s="21"/>
      <c r="E158" s="21"/>
      <c r="F158" s="21"/>
      <c r="L158" s="21"/>
    </row>
    <row r="159" spans="2:12" x14ac:dyDescent="0.25">
      <c r="B159" s="20"/>
      <c r="C159" s="21"/>
      <c r="D159" s="21"/>
      <c r="E159" s="21"/>
      <c r="F159" s="21"/>
      <c r="L159" s="21"/>
    </row>
    <row r="160" spans="2:12" x14ac:dyDescent="0.25">
      <c r="B160" s="20"/>
      <c r="C160" s="21"/>
      <c r="D160" s="21"/>
      <c r="E160" s="21"/>
      <c r="F160" s="21"/>
      <c r="L160" s="21"/>
    </row>
    <row r="161" spans="2:12" x14ac:dyDescent="0.25">
      <c r="B161" s="20"/>
      <c r="C161" s="21"/>
      <c r="D161" s="21"/>
      <c r="E161" s="21"/>
      <c r="F161" s="21"/>
      <c r="L161" s="21"/>
    </row>
    <row r="162" spans="2:12" x14ac:dyDescent="0.25">
      <c r="B162" s="20"/>
      <c r="C162" s="21"/>
      <c r="D162" s="21"/>
      <c r="E162" s="21"/>
      <c r="F162" s="21"/>
      <c r="L162" s="21"/>
    </row>
    <row r="163" spans="2:12" x14ac:dyDescent="0.25">
      <c r="B163" s="20"/>
      <c r="C163" s="21"/>
      <c r="D163" s="21"/>
      <c r="E163" s="21"/>
      <c r="F163" s="21"/>
      <c r="L163" s="21"/>
    </row>
    <row r="164" spans="2:12" x14ac:dyDescent="0.25">
      <c r="B164" s="20"/>
      <c r="C164" s="21"/>
      <c r="D164" s="21"/>
      <c r="E164" s="21"/>
      <c r="F164" s="21"/>
      <c r="L164" s="21"/>
    </row>
    <row r="165" spans="2:12" x14ac:dyDescent="0.25">
      <c r="B165" s="20"/>
      <c r="C165" s="21"/>
      <c r="D165" s="21"/>
      <c r="E165" s="21"/>
      <c r="F165" s="21"/>
      <c r="L165" s="21"/>
    </row>
    <row r="166" spans="2:12" x14ac:dyDescent="0.25">
      <c r="B166" s="20"/>
      <c r="C166" s="21"/>
      <c r="D166" s="21"/>
      <c r="E166" s="21"/>
      <c r="F166" s="21"/>
      <c r="L166" s="21"/>
    </row>
    <row r="167" spans="2:12" x14ac:dyDescent="0.25">
      <c r="B167" s="20"/>
      <c r="C167" s="21"/>
      <c r="D167" s="21"/>
      <c r="E167" s="21"/>
      <c r="F167" s="21"/>
      <c r="L167" s="21"/>
    </row>
    <row r="168" spans="2:12" x14ac:dyDescent="0.25">
      <c r="B168" s="20"/>
      <c r="C168" s="21"/>
      <c r="D168" s="21"/>
      <c r="E168" s="21"/>
      <c r="F168" s="21"/>
      <c r="L168" s="21"/>
    </row>
    <row r="169" spans="2:12" x14ac:dyDescent="0.25">
      <c r="B169" s="20"/>
      <c r="C169" s="21"/>
      <c r="D169" s="21"/>
      <c r="E169" s="21"/>
      <c r="F169" s="21"/>
      <c r="L169" s="21"/>
    </row>
    <row r="170" spans="2:12" x14ac:dyDescent="0.25">
      <c r="B170" s="20"/>
      <c r="C170" s="21"/>
      <c r="D170" s="21"/>
      <c r="E170" s="21"/>
      <c r="F170" s="21"/>
      <c r="L170" s="21"/>
    </row>
    <row r="171" spans="2:12" x14ac:dyDescent="0.25">
      <c r="B171" s="20"/>
      <c r="C171" s="21"/>
      <c r="D171" s="21"/>
      <c r="E171" s="21"/>
      <c r="F171" s="21"/>
      <c r="L171" s="21"/>
    </row>
    <row r="172" spans="2:12" x14ac:dyDescent="0.25">
      <c r="B172" s="20"/>
      <c r="C172" s="21"/>
      <c r="D172" s="21"/>
      <c r="E172" s="21"/>
      <c r="F172" s="21"/>
      <c r="L172" s="21"/>
    </row>
    <row r="173" spans="2:12" x14ac:dyDescent="0.25">
      <c r="B173" s="20"/>
      <c r="C173" s="21"/>
      <c r="D173" s="21"/>
      <c r="E173" s="21"/>
      <c r="F173" s="21"/>
      <c r="L173" s="21"/>
    </row>
    <row r="174" spans="2:12" x14ac:dyDescent="0.25">
      <c r="B174" s="20"/>
      <c r="C174" s="21"/>
      <c r="D174" s="21"/>
      <c r="E174" s="21"/>
      <c r="F174" s="21"/>
      <c r="L174" s="21"/>
    </row>
    <row r="175" spans="2:12" x14ac:dyDescent="0.25">
      <c r="B175" s="20"/>
      <c r="C175" s="21"/>
      <c r="D175" s="21"/>
      <c r="E175" s="21"/>
      <c r="F175" s="21"/>
      <c r="L175" s="21"/>
    </row>
    <row r="176" spans="2:12" x14ac:dyDescent="0.25">
      <c r="B176" s="20"/>
      <c r="C176" s="21"/>
      <c r="D176" s="21"/>
      <c r="E176" s="21"/>
      <c r="F176" s="21"/>
      <c r="L176" s="21"/>
    </row>
    <row r="177" spans="2:12" x14ac:dyDescent="0.25">
      <c r="B177" s="20"/>
      <c r="C177" s="21"/>
      <c r="D177" s="21"/>
      <c r="E177" s="21"/>
      <c r="F177" s="21"/>
      <c r="L177" s="21"/>
    </row>
    <row r="178" spans="2:12" x14ac:dyDescent="0.25">
      <c r="B178" s="20"/>
      <c r="C178" s="21"/>
      <c r="D178" s="21"/>
      <c r="E178" s="21"/>
      <c r="F178" s="21"/>
      <c r="L178" s="21"/>
    </row>
    <row r="179" spans="2:12" x14ac:dyDescent="0.25">
      <c r="B179" s="20"/>
      <c r="C179" s="21"/>
      <c r="D179" s="21"/>
      <c r="E179" s="21"/>
      <c r="F179" s="21"/>
      <c r="L179" s="21"/>
    </row>
    <row r="180" spans="2:12" x14ac:dyDescent="0.25">
      <c r="B180" s="20"/>
      <c r="C180" s="21"/>
      <c r="D180" s="21"/>
      <c r="E180" s="21"/>
      <c r="F180" s="21"/>
      <c r="L180" s="21"/>
    </row>
    <row r="181" spans="2:12" x14ac:dyDescent="0.25">
      <c r="B181" s="20"/>
      <c r="C181" s="21"/>
      <c r="D181" s="21"/>
      <c r="E181" s="21"/>
      <c r="F181" s="21"/>
      <c r="L181" s="21"/>
    </row>
    <row r="182" spans="2:12" x14ac:dyDescent="0.25">
      <c r="B182" s="20"/>
      <c r="C182" s="21"/>
      <c r="D182" s="21"/>
      <c r="E182" s="21"/>
      <c r="F182" s="21"/>
      <c r="L182" s="21"/>
    </row>
    <row r="183" spans="2:12" x14ac:dyDescent="0.25">
      <c r="B183" s="20"/>
      <c r="C183" s="21"/>
      <c r="D183" s="21"/>
      <c r="E183" s="21"/>
      <c r="F183" s="21"/>
      <c r="L183" s="21"/>
    </row>
    <row r="184" spans="2:12" x14ac:dyDescent="0.25">
      <c r="B184" s="20"/>
      <c r="C184" s="21"/>
      <c r="D184" s="21"/>
      <c r="E184" s="21"/>
      <c r="F184" s="21"/>
      <c r="L184" s="21"/>
    </row>
    <row r="185" spans="2:12" x14ac:dyDescent="0.25">
      <c r="B185" s="20"/>
      <c r="C185" s="21"/>
      <c r="D185" s="21"/>
      <c r="E185" s="21"/>
      <c r="F185" s="21"/>
      <c r="L185" s="21"/>
    </row>
    <row r="186" spans="2:12" x14ac:dyDescent="0.25">
      <c r="B186" s="20"/>
      <c r="C186" s="21"/>
      <c r="D186" s="21"/>
      <c r="E186" s="21"/>
      <c r="F186" s="21"/>
      <c r="L186" s="21"/>
    </row>
    <row r="187" spans="2:12" x14ac:dyDescent="0.25">
      <c r="B187" s="20"/>
      <c r="C187" s="21"/>
      <c r="D187" s="21"/>
      <c r="E187" s="21"/>
      <c r="F187" s="21"/>
      <c r="L187" s="21"/>
    </row>
    <row r="188" spans="2:12" x14ac:dyDescent="0.25">
      <c r="B188" s="20"/>
      <c r="C188" s="21"/>
      <c r="D188" s="21"/>
      <c r="E188" s="21"/>
      <c r="F188" s="21"/>
      <c r="L188" s="21"/>
    </row>
    <row r="189" spans="2:12" x14ac:dyDescent="0.25">
      <c r="B189" s="20"/>
      <c r="C189" s="21"/>
      <c r="D189" s="21"/>
      <c r="E189" s="21"/>
      <c r="F189" s="21"/>
      <c r="L189" s="21"/>
    </row>
    <row r="190" spans="2:12" x14ac:dyDescent="0.25">
      <c r="B190" s="20"/>
      <c r="C190" s="21"/>
      <c r="D190" s="21"/>
      <c r="E190" s="21"/>
      <c r="F190" s="21"/>
      <c r="L190" s="21"/>
    </row>
    <row r="191" spans="2:12" x14ac:dyDescent="0.25">
      <c r="B191" s="20"/>
      <c r="C191" s="21"/>
      <c r="D191" s="21"/>
      <c r="E191" s="21"/>
      <c r="F191" s="21"/>
      <c r="L191" s="21"/>
    </row>
    <row r="192" spans="2:12" x14ac:dyDescent="0.25">
      <c r="B192" s="20"/>
      <c r="C192" s="21"/>
      <c r="D192" s="21"/>
      <c r="E192" s="21"/>
      <c r="F192" s="21"/>
      <c r="L192" s="21"/>
    </row>
    <row r="193" spans="2:12" x14ac:dyDescent="0.25">
      <c r="B193" s="20"/>
      <c r="C193" s="21"/>
      <c r="D193" s="21"/>
      <c r="E193" s="21"/>
      <c r="F193" s="21"/>
      <c r="L193" s="21"/>
    </row>
    <row r="194" spans="2:12" x14ac:dyDescent="0.25">
      <c r="B194" s="20"/>
      <c r="C194" s="21"/>
      <c r="D194" s="21"/>
      <c r="E194" s="21"/>
      <c r="F194" s="21"/>
      <c r="L194" s="21"/>
    </row>
    <row r="195" spans="2:12" x14ac:dyDescent="0.25">
      <c r="B195" s="20"/>
      <c r="C195" s="21"/>
      <c r="D195" s="21"/>
      <c r="E195" s="21"/>
      <c r="F195" s="21"/>
      <c r="L195" s="21"/>
    </row>
    <row r="196" spans="2:12" x14ac:dyDescent="0.25">
      <c r="B196" s="20"/>
      <c r="C196" s="21"/>
      <c r="D196" s="21"/>
      <c r="E196" s="21"/>
      <c r="F196" s="21"/>
      <c r="L196" s="21"/>
    </row>
    <row r="197" spans="2:12" x14ac:dyDescent="0.25">
      <c r="B197" s="20"/>
      <c r="C197" s="21"/>
      <c r="D197" s="21"/>
      <c r="E197" s="21"/>
      <c r="F197" s="21"/>
      <c r="L197" s="21"/>
    </row>
    <row r="198" spans="2:12" x14ac:dyDescent="0.25">
      <c r="B198" s="20"/>
      <c r="C198" s="21"/>
      <c r="D198" s="21"/>
      <c r="E198" s="21"/>
      <c r="F198" s="21"/>
      <c r="L198" s="21"/>
    </row>
    <row r="199" spans="2:12" x14ac:dyDescent="0.25">
      <c r="B199" s="20"/>
      <c r="C199" s="21"/>
      <c r="D199" s="21"/>
      <c r="E199" s="21"/>
      <c r="F199" s="21"/>
      <c r="L199" s="21"/>
    </row>
    <row r="200" spans="2:12" x14ac:dyDescent="0.25">
      <c r="B200" s="20"/>
      <c r="C200" s="21"/>
      <c r="D200" s="21"/>
      <c r="E200" s="21"/>
      <c r="F200" s="21"/>
      <c r="L200" s="21"/>
    </row>
    <row r="201" spans="2:12" x14ac:dyDescent="0.25">
      <c r="B201" s="20"/>
      <c r="C201" s="21"/>
      <c r="D201" s="21"/>
      <c r="E201" s="21"/>
      <c r="F201" s="21"/>
      <c r="L201" s="21"/>
    </row>
    <row r="202" spans="2:12" x14ac:dyDescent="0.25">
      <c r="B202" s="20"/>
      <c r="C202" s="21"/>
      <c r="D202" s="21"/>
      <c r="E202" s="21"/>
      <c r="F202" s="21"/>
      <c r="L202" s="21"/>
    </row>
    <row r="203" spans="2:12" x14ac:dyDescent="0.25">
      <c r="B203" s="20"/>
      <c r="C203" s="21"/>
      <c r="D203" s="21"/>
      <c r="E203" s="21"/>
      <c r="F203" s="21"/>
      <c r="L203" s="21"/>
    </row>
    <row r="204" spans="2:12" x14ac:dyDescent="0.25">
      <c r="B204" s="20"/>
      <c r="C204" s="21"/>
      <c r="D204" s="21"/>
      <c r="E204" s="21"/>
      <c r="F204" s="21"/>
      <c r="L204" s="21"/>
    </row>
    <row r="205" spans="2:12" x14ac:dyDescent="0.25">
      <c r="B205" s="20"/>
      <c r="C205" s="21"/>
      <c r="D205" s="21"/>
      <c r="E205" s="21"/>
      <c r="F205" s="21"/>
      <c r="L205" s="21"/>
    </row>
    <row r="206" spans="2:12" x14ac:dyDescent="0.25">
      <c r="B206" s="20"/>
      <c r="C206" s="21"/>
      <c r="D206" s="21"/>
      <c r="E206" s="21"/>
      <c r="F206" s="21"/>
      <c r="L206" s="21"/>
    </row>
    <row r="207" spans="2:12" x14ac:dyDescent="0.25">
      <c r="B207" s="20"/>
      <c r="C207" s="21"/>
      <c r="D207" s="21"/>
      <c r="E207" s="21"/>
      <c r="F207" s="21"/>
      <c r="L207" s="21"/>
    </row>
    <row r="208" spans="2:12" x14ac:dyDescent="0.25">
      <c r="B208" s="20"/>
      <c r="C208" s="21"/>
      <c r="D208" s="21"/>
      <c r="E208" s="21"/>
      <c r="F208" s="21"/>
      <c r="L208" s="21"/>
    </row>
    <row r="209" spans="2:12" x14ac:dyDescent="0.25">
      <c r="B209" s="20"/>
      <c r="C209" s="21"/>
      <c r="D209" s="21"/>
      <c r="E209" s="21"/>
      <c r="F209" s="21"/>
      <c r="L209" s="21"/>
    </row>
    <row r="210" spans="2:12" x14ac:dyDescent="0.25">
      <c r="B210" s="20"/>
      <c r="C210" s="21"/>
      <c r="D210" s="21"/>
      <c r="E210" s="21"/>
      <c r="F210" s="21"/>
      <c r="L210" s="21"/>
    </row>
    <row r="211" spans="2:12" x14ac:dyDescent="0.25">
      <c r="B211" s="20"/>
      <c r="C211" s="21"/>
      <c r="D211" s="21"/>
      <c r="E211" s="21"/>
      <c r="F211" s="21"/>
      <c r="L211" s="21"/>
    </row>
    <row r="212" spans="2:12" x14ac:dyDescent="0.25">
      <c r="B212" s="20"/>
      <c r="C212" s="21"/>
      <c r="D212" s="21"/>
      <c r="E212" s="21"/>
      <c r="F212" s="21"/>
      <c r="L212" s="21"/>
    </row>
    <row r="213" spans="2:12" x14ac:dyDescent="0.25">
      <c r="B213" s="20"/>
      <c r="C213" s="21"/>
      <c r="D213" s="21"/>
      <c r="E213" s="21"/>
      <c r="F213" s="21"/>
      <c r="L213" s="21"/>
    </row>
    <row r="214" spans="2:12" x14ac:dyDescent="0.25">
      <c r="B214" s="20"/>
      <c r="C214" s="21"/>
      <c r="D214" s="21"/>
      <c r="E214" s="21"/>
      <c r="F214" s="21"/>
      <c r="L214" s="21"/>
    </row>
    <row r="215" spans="2:12" x14ac:dyDescent="0.25">
      <c r="B215" s="20"/>
      <c r="C215" s="21"/>
      <c r="D215" s="21"/>
      <c r="E215" s="21"/>
      <c r="F215" s="21"/>
      <c r="L215" s="21"/>
    </row>
    <row r="216" spans="2:12" x14ac:dyDescent="0.25">
      <c r="B216" s="20"/>
      <c r="C216" s="21"/>
      <c r="D216" s="21"/>
      <c r="E216" s="21"/>
      <c r="F216" s="21"/>
      <c r="L216" s="21"/>
    </row>
    <row r="217" spans="2:12" x14ac:dyDescent="0.25">
      <c r="B217" s="20"/>
      <c r="C217" s="21"/>
      <c r="D217" s="21"/>
      <c r="E217" s="21"/>
      <c r="F217" s="21"/>
      <c r="L217" s="21"/>
    </row>
    <row r="218" spans="2:12" x14ac:dyDescent="0.25">
      <c r="B218" s="20"/>
      <c r="C218" s="21"/>
      <c r="D218" s="21"/>
      <c r="E218" s="21"/>
      <c r="F218" s="21"/>
      <c r="L218" s="21"/>
    </row>
    <row r="219" spans="2:12" x14ac:dyDescent="0.25">
      <c r="B219" s="20"/>
      <c r="C219" s="21"/>
      <c r="D219" s="21"/>
      <c r="E219" s="21"/>
      <c r="F219" s="21"/>
      <c r="L219" s="21"/>
    </row>
    <row r="220" spans="2:12" x14ac:dyDescent="0.25">
      <c r="B220" s="20"/>
      <c r="C220" s="21"/>
      <c r="D220" s="21"/>
      <c r="E220" s="21"/>
      <c r="F220" s="21"/>
      <c r="L220" s="21"/>
    </row>
    <row r="221" spans="2:12" x14ac:dyDescent="0.25">
      <c r="B221" s="20"/>
      <c r="C221" s="21"/>
      <c r="D221" s="21"/>
      <c r="E221" s="21"/>
      <c r="F221" s="21"/>
      <c r="L221" s="21"/>
    </row>
    <row r="222" spans="2:12" x14ac:dyDescent="0.25">
      <c r="B222" s="20"/>
      <c r="C222" s="21"/>
      <c r="D222" s="21"/>
      <c r="E222" s="21"/>
      <c r="F222" s="21"/>
      <c r="L222" s="21"/>
    </row>
    <row r="223" spans="2:12" x14ac:dyDescent="0.25">
      <c r="B223" s="20"/>
      <c r="C223" s="21"/>
      <c r="D223" s="21"/>
      <c r="E223" s="21"/>
      <c r="F223" s="21"/>
      <c r="L223" s="21"/>
    </row>
    <row r="224" spans="2:12" x14ac:dyDescent="0.25">
      <c r="B224" s="20"/>
      <c r="C224" s="21"/>
      <c r="D224" s="21"/>
      <c r="E224" s="21"/>
      <c r="F224" s="21"/>
      <c r="L224" s="21"/>
    </row>
    <row r="225" spans="2:12" x14ac:dyDescent="0.25">
      <c r="B225" s="20"/>
      <c r="C225" s="21"/>
      <c r="D225" s="21"/>
      <c r="E225" s="21"/>
      <c r="F225" s="21"/>
      <c r="L225" s="21"/>
    </row>
    <row r="226" spans="2:12" x14ac:dyDescent="0.25">
      <c r="B226" s="20"/>
      <c r="C226" s="21"/>
      <c r="D226" s="21"/>
      <c r="E226" s="21"/>
      <c r="F226" s="21"/>
      <c r="L226" s="21"/>
    </row>
    <row r="227" spans="2:12" x14ac:dyDescent="0.25">
      <c r="B227" s="20"/>
      <c r="C227" s="21"/>
      <c r="D227" s="21"/>
      <c r="E227" s="21"/>
      <c r="F227" s="21"/>
      <c r="L227" s="21"/>
    </row>
    <row r="228" spans="2:12" x14ac:dyDescent="0.25">
      <c r="B228" s="20"/>
      <c r="C228" s="21"/>
      <c r="D228" s="21"/>
      <c r="E228" s="21"/>
      <c r="F228" s="21"/>
      <c r="L228" s="21"/>
    </row>
    <row r="229" spans="2:12" x14ac:dyDescent="0.25">
      <c r="B229" s="20"/>
      <c r="C229" s="21"/>
      <c r="D229" s="21"/>
      <c r="E229" s="21"/>
      <c r="F229" s="21"/>
      <c r="L229" s="21"/>
    </row>
    <row r="230" spans="2:12" x14ac:dyDescent="0.25">
      <c r="B230" s="20"/>
      <c r="C230" s="21"/>
      <c r="D230" s="21"/>
      <c r="E230" s="21"/>
      <c r="F230" s="21"/>
      <c r="L230" s="21"/>
    </row>
    <row r="231" spans="2:12" x14ac:dyDescent="0.25">
      <c r="B231" s="20"/>
      <c r="C231" s="21"/>
      <c r="D231" s="21"/>
      <c r="E231" s="21"/>
      <c r="F231" s="21"/>
      <c r="L231" s="21"/>
    </row>
    <row r="232" spans="2:12" x14ac:dyDescent="0.25">
      <c r="B232" s="20"/>
      <c r="C232" s="21"/>
      <c r="D232" s="21"/>
      <c r="E232" s="21"/>
      <c r="F232" s="21"/>
      <c r="L232" s="21"/>
    </row>
    <row r="233" spans="2:12" x14ac:dyDescent="0.25">
      <c r="B233" s="20"/>
      <c r="C233" s="21"/>
      <c r="D233" s="21"/>
      <c r="E233" s="21"/>
      <c r="F233" s="21"/>
      <c r="L233" s="21"/>
    </row>
    <row r="234" spans="2:12" x14ac:dyDescent="0.25">
      <c r="B234" s="20"/>
      <c r="C234" s="21"/>
      <c r="D234" s="21"/>
      <c r="E234" s="21"/>
      <c r="F234" s="21"/>
      <c r="L234" s="21"/>
    </row>
    <row r="235" spans="2:12" x14ac:dyDescent="0.25">
      <c r="B235" s="20"/>
      <c r="C235" s="21"/>
      <c r="D235" s="21"/>
      <c r="E235" s="21"/>
      <c r="F235" s="21"/>
      <c r="L235" s="21"/>
    </row>
    <row r="236" spans="2:12" x14ac:dyDescent="0.25">
      <c r="B236" s="20"/>
      <c r="C236" s="21"/>
      <c r="D236" s="21"/>
      <c r="E236" s="21"/>
      <c r="F236" s="21"/>
      <c r="L236" s="21"/>
    </row>
    <row r="237" spans="2:12" x14ac:dyDescent="0.25">
      <c r="B237" s="20"/>
      <c r="C237" s="21"/>
      <c r="D237" s="21"/>
      <c r="E237" s="21"/>
      <c r="F237" s="21"/>
      <c r="L237" s="21"/>
    </row>
    <row r="238" spans="2:12" x14ac:dyDescent="0.25">
      <c r="B238" s="20"/>
      <c r="C238" s="21"/>
      <c r="D238" s="21"/>
      <c r="E238" s="21"/>
      <c r="F238" s="21"/>
      <c r="L238" s="21"/>
    </row>
    <row r="239" spans="2:12" x14ac:dyDescent="0.25">
      <c r="B239" s="20"/>
      <c r="C239" s="21"/>
      <c r="D239" s="21"/>
      <c r="E239" s="21"/>
      <c r="F239" s="21"/>
      <c r="L239" s="21"/>
    </row>
    <row r="240" spans="2:12" x14ac:dyDescent="0.25">
      <c r="B240" s="20"/>
      <c r="C240" s="21"/>
      <c r="D240" s="21"/>
      <c r="E240" s="21"/>
      <c r="F240" s="21"/>
      <c r="L240" s="21"/>
    </row>
    <row r="241" spans="2:12" x14ac:dyDescent="0.25">
      <c r="B241" s="20"/>
      <c r="C241" s="21"/>
      <c r="D241" s="21"/>
      <c r="E241" s="21"/>
      <c r="F241" s="21"/>
      <c r="L241" s="21"/>
    </row>
    <row r="242" spans="2:12" x14ac:dyDescent="0.25">
      <c r="B242" s="20"/>
      <c r="C242" s="21"/>
      <c r="D242" s="21"/>
      <c r="E242" s="21"/>
      <c r="F242" s="21"/>
      <c r="L242" s="21"/>
    </row>
    <row r="243" spans="2:12" x14ac:dyDescent="0.25">
      <c r="B243" s="20"/>
      <c r="C243" s="21"/>
      <c r="D243" s="21"/>
      <c r="E243" s="21"/>
      <c r="F243" s="21"/>
      <c r="L243" s="21"/>
    </row>
    <row r="244" spans="2:12" x14ac:dyDescent="0.25">
      <c r="B244" s="20"/>
      <c r="C244" s="21"/>
      <c r="D244" s="21"/>
      <c r="E244" s="21"/>
      <c r="F244" s="21"/>
      <c r="L244" s="21"/>
    </row>
    <row r="245" spans="2:12" x14ac:dyDescent="0.25">
      <c r="B245" s="20"/>
      <c r="C245" s="21"/>
      <c r="D245" s="21"/>
      <c r="E245" s="21"/>
      <c r="F245" s="21"/>
      <c r="L245" s="21"/>
    </row>
    <row r="246" spans="2:12" x14ac:dyDescent="0.25">
      <c r="B246" s="20"/>
      <c r="C246" s="21"/>
      <c r="D246" s="21"/>
      <c r="E246" s="21"/>
      <c r="F246" s="21"/>
      <c r="L246" s="21"/>
    </row>
    <row r="247" spans="2:12" x14ac:dyDescent="0.25">
      <c r="B247" s="20"/>
      <c r="C247" s="21"/>
      <c r="D247" s="21"/>
      <c r="E247" s="21"/>
      <c r="F247" s="21"/>
      <c r="L247" s="21"/>
    </row>
    <row r="248" spans="2:12" x14ac:dyDescent="0.25">
      <c r="B248" s="20"/>
      <c r="C248" s="21"/>
      <c r="D248" s="21"/>
      <c r="E248" s="21"/>
      <c r="F248" s="21"/>
      <c r="L248" s="21"/>
    </row>
    <row r="249" spans="2:12" x14ac:dyDescent="0.25">
      <c r="B249" s="20"/>
      <c r="C249" s="21"/>
      <c r="D249" s="21"/>
      <c r="E249" s="21"/>
      <c r="F249" s="21"/>
      <c r="L249" s="21"/>
    </row>
    <row r="250" spans="2:12" x14ac:dyDescent="0.25">
      <c r="B250" s="20"/>
      <c r="C250" s="21"/>
      <c r="D250" s="21"/>
      <c r="E250" s="21"/>
      <c r="F250" s="21"/>
      <c r="L250" s="21"/>
    </row>
    <row r="251" spans="2:12" x14ac:dyDescent="0.25">
      <c r="B251" s="20"/>
      <c r="C251" s="21"/>
      <c r="D251" s="21"/>
      <c r="E251" s="21"/>
      <c r="F251" s="21"/>
      <c r="L251" s="21"/>
    </row>
    <row r="252" spans="2:12" x14ac:dyDescent="0.25">
      <c r="B252" s="20"/>
      <c r="C252" s="21"/>
      <c r="D252" s="21"/>
      <c r="E252" s="21"/>
      <c r="F252" s="21"/>
      <c r="L252" s="21"/>
    </row>
    <row r="253" spans="2:12" x14ac:dyDescent="0.25">
      <c r="B253" s="20"/>
      <c r="C253" s="21"/>
      <c r="D253" s="21"/>
      <c r="E253" s="21"/>
      <c r="F253" s="21"/>
      <c r="L253" s="21"/>
    </row>
    <row r="254" spans="2:12" x14ac:dyDescent="0.25">
      <c r="B254" s="20"/>
      <c r="C254" s="21"/>
      <c r="D254" s="21"/>
      <c r="E254" s="21"/>
      <c r="F254" s="21"/>
      <c r="L254" s="21"/>
    </row>
    <row r="255" spans="2:12" x14ac:dyDescent="0.25">
      <c r="B255" s="20"/>
      <c r="C255" s="21"/>
      <c r="D255" s="21"/>
      <c r="E255" s="21"/>
      <c r="F255" s="21"/>
      <c r="L255" s="21"/>
    </row>
    <row r="256" spans="2:12" x14ac:dyDescent="0.25">
      <c r="B256" s="20"/>
      <c r="C256" s="21"/>
      <c r="D256" s="21"/>
      <c r="E256" s="21"/>
      <c r="F256" s="21"/>
      <c r="L256" s="21"/>
    </row>
    <row r="257" spans="2:12" x14ac:dyDescent="0.25">
      <c r="B257" s="20"/>
      <c r="C257" s="21"/>
      <c r="D257" s="21"/>
      <c r="E257" s="21"/>
      <c r="F257" s="21"/>
      <c r="L257" s="21"/>
    </row>
    <row r="258" spans="2:12" x14ac:dyDescent="0.25">
      <c r="B258" s="20"/>
      <c r="C258" s="21"/>
      <c r="D258" s="21"/>
      <c r="E258" s="21"/>
      <c r="F258" s="21"/>
      <c r="L258" s="21"/>
    </row>
    <row r="259" spans="2:12" x14ac:dyDescent="0.25">
      <c r="B259" s="20"/>
      <c r="C259" s="21"/>
      <c r="D259" s="21"/>
      <c r="E259" s="21"/>
      <c r="F259" s="21"/>
      <c r="L259" s="21"/>
    </row>
    <row r="260" spans="2:12" x14ac:dyDescent="0.25">
      <c r="B260" s="20"/>
      <c r="C260" s="21"/>
      <c r="D260" s="21"/>
      <c r="E260" s="21"/>
      <c r="F260" s="21"/>
      <c r="L260" s="21"/>
    </row>
    <row r="261" spans="2:12" x14ac:dyDescent="0.25">
      <c r="B261" s="20"/>
      <c r="C261" s="21"/>
      <c r="D261" s="21"/>
      <c r="E261" s="21"/>
      <c r="F261" s="21"/>
      <c r="L261" s="21"/>
    </row>
    <row r="262" spans="2:12" x14ac:dyDescent="0.25">
      <c r="B262" s="20"/>
      <c r="C262" s="21"/>
      <c r="D262" s="21"/>
      <c r="E262" s="21"/>
      <c r="F262" s="21"/>
      <c r="L262" s="21"/>
    </row>
    <row r="263" spans="2:12" x14ac:dyDescent="0.25">
      <c r="B263" s="20"/>
      <c r="C263" s="21"/>
      <c r="D263" s="21"/>
      <c r="E263" s="21"/>
      <c r="F263" s="21"/>
      <c r="L263" s="21"/>
    </row>
    <row r="264" spans="2:12" x14ac:dyDescent="0.25">
      <c r="B264" s="20"/>
      <c r="C264" s="21"/>
      <c r="D264" s="21"/>
      <c r="E264" s="21"/>
      <c r="F264" s="21"/>
      <c r="L264" s="21"/>
    </row>
    <row r="265" spans="2:12" x14ac:dyDescent="0.25">
      <c r="B265" s="20"/>
      <c r="C265" s="21"/>
      <c r="D265" s="21"/>
      <c r="E265" s="21"/>
      <c r="F265" s="21"/>
      <c r="L265" s="21"/>
    </row>
    <row r="266" spans="2:12" x14ac:dyDescent="0.25">
      <c r="B266" s="20"/>
      <c r="C266" s="21"/>
      <c r="D266" s="21"/>
      <c r="E266" s="21"/>
      <c r="F266" s="21"/>
      <c r="L266" s="21"/>
    </row>
    <row r="267" spans="2:12" x14ac:dyDescent="0.25">
      <c r="B267" s="20"/>
      <c r="C267" s="21"/>
      <c r="D267" s="21"/>
      <c r="E267" s="21"/>
      <c r="F267" s="21"/>
      <c r="L267" s="21"/>
    </row>
    <row r="268" spans="2:12" x14ac:dyDescent="0.25">
      <c r="B268" s="20"/>
      <c r="C268" s="21"/>
      <c r="D268" s="21"/>
      <c r="E268" s="21"/>
      <c r="F268" s="21"/>
      <c r="L268" s="21"/>
    </row>
    <row r="269" spans="2:12" x14ac:dyDescent="0.25">
      <c r="B269" s="20"/>
      <c r="C269" s="21"/>
      <c r="D269" s="21"/>
      <c r="E269" s="21"/>
      <c r="F269" s="21"/>
      <c r="L269" s="21"/>
    </row>
    <row r="270" spans="2:12" x14ac:dyDescent="0.25">
      <c r="B270" s="20"/>
      <c r="C270" s="21"/>
      <c r="D270" s="21"/>
      <c r="E270" s="21"/>
      <c r="F270" s="21"/>
      <c r="L270" s="21"/>
    </row>
    <row r="271" spans="2:12" x14ac:dyDescent="0.25">
      <c r="B271" s="20"/>
      <c r="C271" s="21"/>
      <c r="D271" s="21"/>
      <c r="E271" s="21"/>
      <c r="F271" s="21"/>
      <c r="L271" s="21"/>
    </row>
    <row r="272" spans="2:12" x14ac:dyDescent="0.25">
      <c r="B272" s="20"/>
      <c r="C272" s="21"/>
      <c r="D272" s="21"/>
      <c r="E272" s="21"/>
      <c r="F272" s="21"/>
      <c r="L272" s="21"/>
    </row>
    <row r="273" spans="2:12" x14ac:dyDescent="0.25">
      <c r="B273" s="20"/>
      <c r="C273" s="21"/>
      <c r="D273" s="21"/>
      <c r="E273" s="21"/>
      <c r="F273" s="21"/>
      <c r="L273" s="21"/>
    </row>
    <row r="274" spans="2:12" x14ac:dyDescent="0.25">
      <c r="B274" s="20"/>
      <c r="C274" s="21"/>
      <c r="D274" s="21"/>
      <c r="E274" s="21"/>
      <c r="F274" s="21"/>
      <c r="L274" s="21"/>
    </row>
    <row r="275" spans="2:12" x14ac:dyDescent="0.25">
      <c r="B275" s="20"/>
      <c r="C275" s="21"/>
      <c r="D275" s="21"/>
      <c r="E275" s="21"/>
      <c r="F275" s="21"/>
      <c r="L275" s="21"/>
    </row>
    <row r="276" spans="2:12" x14ac:dyDescent="0.25">
      <c r="B276" s="20"/>
      <c r="C276" s="21"/>
      <c r="D276" s="21"/>
      <c r="E276" s="21"/>
      <c r="F276" s="21"/>
      <c r="L276" s="21"/>
    </row>
    <row r="277" spans="2:12" x14ac:dyDescent="0.25">
      <c r="B277" s="20"/>
      <c r="C277" s="21"/>
      <c r="D277" s="21"/>
      <c r="E277" s="21"/>
      <c r="F277" s="21"/>
      <c r="L277" s="21"/>
    </row>
    <row r="278" spans="2:12" x14ac:dyDescent="0.25">
      <c r="B278" s="20"/>
      <c r="C278" s="21"/>
      <c r="D278" s="21"/>
      <c r="E278" s="21"/>
      <c r="F278" s="21"/>
      <c r="L278" s="21"/>
    </row>
    <row r="279" spans="2:12" x14ac:dyDescent="0.25">
      <c r="B279" s="20"/>
      <c r="C279" s="21"/>
      <c r="D279" s="21"/>
      <c r="E279" s="21"/>
      <c r="F279" s="21"/>
      <c r="L279" s="21"/>
    </row>
    <row r="280" spans="2:12" x14ac:dyDescent="0.25">
      <c r="B280" s="20"/>
      <c r="C280" s="21"/>
      <c r="D280" s="21"/>
      <c r="E280" s="21"/>
      <c r="F280" s="21"/>
      <c r="L280" s="21"/>
    </row>
    <row r="281" spans="2:12" x14ac:dyDescent="0.25">
      <c r="B281" s="20"/>
      <c r="C281" s="21"/>
      <c r="D281" s="21"/>
      <c r="E281" s="21"/>
      <c r="F281" s="21"/>
      <c r="L281" s="21"/>
    </row>
    <row r="282" spans="2:12" x14ac:dyDescent="0.25">
      <c r="B282" s="20"/>
      <c r="C282" s="21"/>
      <c r="D282" s="21"/>
      <c r="E282" s="21"/>
      <c r="F282" s="21"/>
      <c r="L282" s="21"/>
    </row>
    <row r="283" spans="2:12" x14ac:dyDescent="0.25">
      <c r="B283" s="20"/>
      <c r="C283" s="21"/>
      <c r="D283" s="21"/>
      <c r="E283" s="21"/>
      <c r="F283" s="21"/>
      <c r="L283" s="21"/>
    </row>
    <row r="284" spans="2:12" x14ac:dyDescent="0.25">
      <c r="B284" s="20"/>
      <c r="C284" s="21"/>
      <c r="D284" s="21"/>
      <c r="E284" s="21"/>
      <c r="F284" s="21"/>
      <c r="L284" s="21"/>
    </row>
    <row r="285" spans="2:12" x14ac:dyDescent="0.25">
      <c r="B285" s="20"/>
      <c r="C285" s="21"/>
      <c r="D285" s="21"/>
      <c r="E285" s="21"/>
      <c r="F285" s="21"/>
      <c r="L285" s="21"/>
    </row>
    <row r="286" spans="2:12" x14ac:dyDescent="0.25">
      <c r="B286" s="20"/>
      <c r="C286" s="21"/>
      <c r="D286" s="21"/>
      <c r="E286" s="21"/>
      <c r="F286" s="21"/>
      <c r="L286" s="21"/>
    </row>
    <row r="287" spans="2:12" x14ac:dyDescent="0.25">
      <c r="B287" s="20"/>
      <c r="C287" s="21"/>
      <c r="D287" s="21"/>
      <c r="E287" s="21"/>
      <c r="F287" s="21"/>
      <c r="L287" s="21"/>
    </row>
    <row r="288" spans="2:12" x14ac:dyDescent="0.25">
      <c r="B288" s="20"/>
      <c r="C288" s="21"/>
      <c r="D288" s="21"/>
      <c r="E288" s="21"/>
      <c r="F288" s="21"/>
      <c r="L288" s="21"/>
    </row>
    <row r="289" spans="2:12" x14ac:dyDescent="0.25">
      <c r="B289" s="20"/>
      <c r="C289" s="21"/>
      <c r="D289" s="21"/>
      <c r="E289" s="21"/>
      <c r="F289" s="21"/>
      <c r="L289" s="21"/>
    </row>
    <row r="290" spans="2:12" x14ac:dyDescent="0.25">
      <c r="B290" s="20"/>
      <c r="C290" s="21"/>
      <c r="D290" s="21"/>
      <c r="E290" s="21"/>
      <c r="F290" s="21"/>
      <c r="L290" s="21"/>
    </row>
    <row r="291" spans="2:12" x14ac:dyDescent="0.25">
      <c r="B291" s="20"/>
      <c r="C291" s="21"/>
      <c r="D291" s="21"/>
      <c r="E291" s="21"/>
      <c r="F291" s="21"/>
      <c r="L291" s="21"/>
    </row>
    <row r="292" spans="2:12" x14ac:dyDescent="0.25">
      <c r="B292" s="20"/>
      <c r="C292" s="21"/>
      <c r="D292" s="21"/>
      <c r="E292" s="21"/>
      <c r="F292" s="21"/>
      <c r="L292" s="21"/>
    </row>
    <row r="293" spans="2:12" x14ac:dyDescent="0.25">
      <c r="B293" s="20"/>
      <c r="C293" s="21"/>
      <c r="D293" s="21"/>
      <c r="E293" s="21"/>
      <c r="F293" s="21"/>
      <c r="L293" s="21"/>
    </row>
    <row r="294" spans="2:12" x14ac:dyDescent="0.25">
      <c r="B294" s="20"/>
      <c r="C294" s="21"/>
      <c r="D294" s="21"/>
      <c r="E294" s="21"/>
      <c r="F294" s="21"/>
      <c r="L294" s="21"/>
    </row>
    <row r="295" spans="2:12" x14ac:dyDescent="0.25">
      <c r="B295" s="20"/>
      <c r="C295" s="21"/>
      <c r="D295" s="21"/>
      <c r="E295" s="21"/>
      <c r="F295" s="21"/>
      <c r="L295" s="21"/>
    </row>
    <row r="296" spans="2:12" x14ac:dyDescent="0.25">
      <c r="B296" s="20"/>
      <c r="C296" s="21"/>
      <c r="D296" s="21"/>
      <c r="E296" s="21"/>
      <c r="F296" s="21"/>
      <c r="L296" s="21"/>
    </row>
    <row r="297" spans="2:12" x14ac:dyDescent="0.25">
      <c r="B297" s="20"/>
      <c r="C297" s="21"/>
      <c r="D297" s="21"/>
      <c r="E297" s="21"/>
      <c r="F297" s="21"/>
      <c r="L297" s="21"/>
    </row>
    <row r="298" spans="2:12" x14ac:dyDescent="0.25">
      <c r="B298" s="20"/>
      <c r="C298" s="21"/>
      <c r="D298" s="21"/>
      <c r="E298" s="21"/>
      <c r="F298" s="21"/>
      <c r="L298" s="21"/>
    </row>
    <row r="299" spans="2:12" x14ac:dyDescent="0.25">
      <c r="B299" s="20"/>
      <c r="C299" s="21"/>
      <c r="D299" s="21"/>
      <c r="E299" s="21"/>
      <c r="F299" s="21"/>
      <c r="L299" s="21"/>
    </row>
    <row r="300" spans="2:12" x14ac:dyDescent="0.25">
      <c r="B300" s="20"/>
      <c r="C300" s="21"/>
      <c r="D300" s="21"/>
      <c r="E300" s="21"/>
      <c r="F300" s="21"/>
      <c r="L300" s="21"/>
    </row>
    <row r="301" spans="2:12" x14ac:dyDescent="0.25">
      <c r="B301" s="20"/>
      <c r="C301" s="21"/>
      <c r="D301" s="21"/>
      <c r="E301" s="21"/>
      <c r="F301" s="21"/>
      <c r="L301" s="21"/>
    </row>
    <row r="302" spans="2:12" x14ac:dyDescent="0.25">
      <c r="B302" s="20"/>
      <c r="C302" s="21"/>
      <c r="D302" s="21"/>
      <c r="E302" s="21"/>
      <c r="F302" s="21"/>
      <c r="L302" s="21"/>
    </row>
    <row r="303" spans="2:12" x14ac:dyDescent="0.25">
      <c r="B303" s="20"/>
      <c r="C303" s="21"/>
      <c r="D303" s="21"/>
      <c r="E303" s="21"/>
      <c r="F303" s="21"/>
      <c r="L303" s="21"/>
    </row>
    <row r="304" spans="2:12" x14ac:dyDescent="0.25">
      <c r="B304" s="20"/>
      <c r="C304" s="21"/>
      <c r="D304" s="21"/>
      <c r="E304" s="21"/>
      <c r="F304" s="21"/>
      <c r="L304" s="21"/>
    </row>
    <row r="305" spans="2:12" x14ac:dyDescent="0.25">
      <c r="B305" s="20"/>
      <c r="C305" s="21"/>
      <c r="D305" s="21"/>
      <c r="E305" s="21"/>
      <c r="F305" s="21"/>
      <c r="L305" s="21"/>
    </row>
    <row r="306" spans="2:12" x14ac:dyDescent="0.25">
      <c r="B306" s="20"/>
      <c r="C306" s="21"/>
      <c r="D306" s="21"/>
      <c r="E306" s="21"/>
      <c r="F306" s="21"/>
      <c r="L306" s="21"/>
    </row>
    <row r="307" spans="2:12" x14ac:dyDescent="0.25">
      <c r="B307" s="20"/>
      <c r="C307" s="21"/>
      <c r="D307" s="21"/>
      <c r="E307" s="21"/>
      <c r="F307" s="21"/>
      <c r="L307" s="21"/>
    </row>
    <row r="308" spans="2:12" x14ac:dyDescent="0.25">
      <c r="B308" s="20"/>
      <c r="C308" s="21"/>
      <c r="D308" s="21"/>
      <c r="E308" s="21"/>
      <c r="F308" s="21"/>
      <c r="L308" s="21"/>
    </row>
    <row r="309" spans="2:12" x14ac:dyDescent="0.25">
      <c r="B309" s="20"/>
      <c r="C309" s="21"/>
      <c r="D309" s="21"/>
      <c r="E309" s="21"/>
      <c r="F309" s="21"/>
      <c r="L309" s="21"/>
    </row>
    <row r="310" spans="2:12" x14ac:dyDescent="0.25">
      <c r="B310" s="20"/>
      <c r="C310" s="21"/>
      <c r="D310" s="21"/>
      <c r="E310" s="21"/>
      <c r="F310" s="21"/>
      <c r="L310" s="21"/>
    </row>
    <row r="311" spans="2:12" x14ac:dyDescent="0.25">
      <c r="B311" s="20"/>
      <c r="C311" s="21"/>
      <c r="D311" s="21"/>
      <c r="E311" s="21"/>
      <c r="F311" s="21"/>
      <c r="L311" s="21"/>
    </row>
    <row r="312" spans="2:12" x14ac:dyDescent="0.25">
      <c r="B312" s="20"/>
      <c r="C312" s="21"/>
      <c r="D312" s="21"/>
      <c r="E312" s="21"/>
      <c r="F312" s="21"/>
      <c r="L312" s="21"/>
    </row>
    <row r="313" spans="2:12" x14ac:dyDescent="0.25">
      <c r="B313" s="20"/>
      <c r="C313" s="21"/>
      <c r="D313" s="21"/>
      <c r="E313" s="21"/>
      <c r="F313" s="21"/>
      <c r="L313" s="21"/>
    </row>
    <row r="314" spans="2:12" x14ac:dyDescent="0.25">
      <c r="B314" s="20"/>
      <c r="C314" s="21"/>
      <c r="D314" s="21"/>
      <c r="E314" s="21"/>
      <c r="F314" s="21"/>
      <c r="L314" s="21"/>
    </row>
    <row r="315" spans="2:12" x14ac:dyDescent="0.25">
      <c r="B315" s="20"/>
      <c r="C315" s="21"/>
      <c r="D315" s="21"/>
      <c r="E315" s="21"/>
      <c r="F315" s="21"/>
      <c r="L315" s="21"/>
    </row>
    <row r="316" spans="2:12" x14ac:dyDescent="0.25">
      <c r="B316" s="20"/>
      <c r="C316" s="21"/>
      <c r="D316" s="21"/>
      <c r="E316" s="21"/>
      <c r="F316" s="21"/>
      <c r="L316" s="21"/>
    </row>
    <row r="317" spans="2:12" x14ac:dyDescent="0.25">
      <c r="B317" s="20"/>
      <c r="C317" s="21"/>
      <c r="D317" s="21"/>
      <c r="E317" s="21"/>
      <c r="F317" s="21"/>
      <c r="L317" s="21"/>
    </row>
    <row r="318" spans="2:12" x14ac:dyDescent="0.25">
      <c r="B318" s="20"/>
      <c r="C318" s="21"/>
      <c r="D318" s="21"/>
      <c r="E318" s="21"/>
      <c r="F318" s="21"/>
      <c r="L318" s="21"/>
    </row>
    <row r="319" spans="2:12" x14ac:dyDescent="0.25">
      <c r="B319" s="20"/>
      <c r="C319" s="21"/>
      <c r="D319" s="21"/>
      <c r="E319" s="21"/>
      <c r="F319" s="21"/>
      <c r="L319" s="21"/>
    </row>
    <row r="320" spans="2:12" x14ac:dyDescent="0.25">
      <c r="B320" s="20"/>
      <c r="C320" s="21"/>
      <c r="D320" s="21"/>
      <c r="E320" s="21"/>
      <c r="F320" s="21"/>
      <c r="L320" s="21"/>
    </row>
    <row r="321" spans="2:12" x14ac:dyDescent="0.25">
      <c r="B321" s="20"/>
      <c r="C321" s="21"/>
      <c r="D321" s="21"/>
      <c r="E321" s="21"/>
      <c r="F321" s="21"/>
      <c r="L321" s="21"/>
    </row>
    <row r="322" spans="2:12" x14ac:dyDescent="0.25">
      <c r="B322" s="20"/>
      <c r="C322" s="21"/>
      <c r="D322" s="21"/>
      <c r="E322" s="21"/>
      <c r="F322" s="21"/>
      <c r="L322" s="21"/>
    </row>
    <row r="323" spans="2:12" x14ac:dyDescent="0.25">
      <c r="B323" s="20"/>
      <c r="C323" s="21"/>
      <c r="D323" s="21"/>
      <c r="E323" s="21"/>
      <c r="F323" s="21"/>
      <c r="L323" s="21"/>
    </row>
    <row r="324" spans="2:12" x14ac:dyDescent="0.25">
      <c r="B324" s="20"/>
      <c r="C324" s="21"/>
      <c r="D324" s="21"/>
      <c r="E324" s="21"/>
      <c r="F324" s="21"/>
      <c r="L324" s="21"/>
    </row>
    <row r="325" spans="2:12" x14ac:dyDescent="0.25">
      <c r="B325" s="20"/>
      <c r="C325" s="21"/>
      <c r="D325" s="21"/>
      <c r="E325" s="21"/>
      <c r="F325" s="21"/>
      <c r="L325" s="21"/>
    </row>
    <row r="326" spans="2:12" x14ac:dyDescent="0.25">
      <c r="B326" s="20"/>
      <c r="C326" s="21"/>
      <c r="D326" s="21"/>
      <c r="E326" s="21"/>
      <c r="F326" s="21"/>
      <c r="L326" s="21"/>
    </row>
    <row r="327" spans="2:12" x14ac:dyDescent="0.25">
      <c r="B327" s="20"/>
      <c r="C327" s="21"/>
      <c r="D327" s="21"/>
      <c r="E327" s="21"/>
      <c r="F327" s="21"/>
      <c r="L327" s="21"/>
    </row>
    <row r="328" spans="2:12" x14ac:dyDescent="0.25">
      <c r="B328" s="20"/>
      <c r="C328" s="21"/>
      <c r="D328" s="21"/>
      <c r="E328" s="21"/>
      <c r="F328" s="21"/>
      <c r="L328" s="21"/>
    </row>
    <row r="329" spans="2:12" x14ac:dyDescent="0.25">
      <c r="B329" s="20"/>
      <c r="C329" s="21"/>
      <c r="D329" s="21"/>
      <c r="E329" s="21"/>
      <c r="F329" s="21"/>
      <c r="L329" s="21"/>
    </row>
    <row r="330" spans="2:12" x14ac:dyDescent="0.25">
      <c r="B330" s="20"/>
      <c r="C330" s="21"/>
      <c r="D330" s="21"/>
      <c r="E330" s="21"/>
      <c r="F330" s="21"/>
      <c r="L330" s="21"/>
    </row>
    <row r="331" spans="2:12" x14ac:dyDescent="0.25">
      <c r="B331" s="20"/>
      <c r="C331" s="21"/>
      <c r="D331" s="21"/>
      <c r="E331" s="21"/>
      <c r="F331" s="21"/>
      <c r="L331" s="21"/>
    </row>
    <row r="332" spans="2:12" x14ac:dyDescent="0.25">
      <c r="B332" s="20"/>
      <c r="C332" s="21"/>
      <c r="D332" s="21"/>
      <c r="E332" s="21"/>
      <c r="F332" s="21"/>
      <c r="L332" s="21"/>
    </row>
    <row r="333" spans="2:12" x14ac:dyDescent="0.25">
      <c r="B333" s="20"/>
      <c r="C333" s="21"/>
      <c r="D333" s="21"/>
      <c r="E333" s="21"/>
      <c r="F333" s="21"/>
      <c r="L333" s="21"/>
    </row>
    <row r="334" spans="2:12" x14ac:dyDescent="0.25">
      <c r="B334" s="20"/>
      <c r="C334" s="21"/>
      <c r="D334" s="21"/>
      <c r="E334" s="21"/>
      <c r="F334" s="21"/>
      <c r="L334" s="21"/>
    </row>
    <row r="335" spans="2:12" x14ac:dyDescent="0.25">
      <c r="B335" s="20"/>
      <c r="C335" s="21"/>
      <c r="D335" s="21"/>
      <c r="E335" s="21"/>
      <c r="F335" s="21"/>
      <c r="L335" s="21"/>
    </row>
    <row r="336" spans="2:12" x14ac:dyDescent="0.25">
      <c r="B336" s="20"/>
      <c r="C336" s="21"/>
      <c r="D336" s="21"/>
      <c r="E336" s="21"/>
      <c r="F336" s="21"/>
      <c r="L336" s="21"/>
    </row>
    <row r="337" spans="2:12" x14ac:dyDescent="0.25">
      <c r="B337" s="20"/>
      <c r="C337" s="21"/>
      <c r="D337" s="21"/>
      <c r="E337" s="21"/>
      <c r="F337" s="21"/>
      <c r="L337" s="21"/>
    </row>
    <row r="338" spans="2:12" x14ac:dyDescent="0.25">
      <c r="B338" s="20"/>
      <c r="C338" s="21"/>
      <c r="D338" s="21"/>
      <c r="E338" s="21"/>
      <c r="F338" s="21"/>
      <c r="L338" s="21"/>
    </row>
    <row r="339" spans="2:12" x14ac:dyDescent="0.25">
      <c r="B339" s="20"/>
      <c r="C339" s="21"/>
      <c r="D339" s="21"/>
      <c r="E339" s="21"/>
      <c r="F339" s="21"/>
      <c r="L339" s="21"/>
    </row>
    <row r="340" spans="2:12" x14ac:dyDescent="0.25">
      <c r="B340" s="20"/>
      <c r="C340" s="21"/>
      <c r="D340" s="21"/>
      <c r="E340" s="21"/>
      <c r="F340" s="21"/>
      <c r="L340" s="21"/>
    </row>
    <row r="341" spans="2:12" x14ac:dyDescent="0.25">
      <c r="B341" s="20"/>
      <c r="C341" s="21"/>
      <c r="D341" s="21"/>
      <c r="E341" s="21"/>
      <c r="F341" s="21"/>
      <c r="L341" s="21"/>
    </row>
    <row r="342" spans="2:12" x14ac:dyDescent="0.25">
      <c r="B342" s="20"/>
      <c r="C342" s="21"/>
      <c r="D342" s="21"/>
      <c r="E342" s="21"/>
      <c r="F342" s="21"/>
      <c r="L342" s="21"/>
    </row>
    <row r="343" spans="2:12" x14ac:dyDescent="0.25">
      <c r="B343" s="20"/>
      <c r="C343" s="21"/>
      <c r="D343" s="21"/>
      <c r="E343" s="21"/>
      <c r="F343" s="21"/>
      <c r="L343" s="21"/>
    </row>
    <row r="344" spans="2:12" x14ac:dyDescent="0.25">
      <c r="B344" s="20"/>
      <c r="C344" s="21"/>
      <c r="D344" s="21"/>
      <c r="E344" s="21"/>
      <c r="F344" s="21"/>
      <c r="L344" s="21"/>
    </row>
    <row r="345" spans="2:12" x14ac:dyDescent="0.25">
      <c r="B345" s="20"/>
      <c r="C345" s="21"/>
      <c r="D345" s="21"/>
      <c r="E345" s="21"/>
      <c r="F345" s="21"/>
      <c r="L345" s="21"/>
    </row>
    <row r="346" spans="2:12" x14ac:dyDescent="0.25">
      <c r="B346" s="20"/>
      <c r="C346" s="21"/>
      <c r="D346" s="21"/>
      <c r="E346" s="21"/>
      <c r="F346" s="21"/>
      <c r="L346" s="21"/>
    </row>
    <row r="347" spans="2:12" x14ac:dyDescent="0.25">
      <c r="B347" s="20"/>
      <c r="C347" s="21"/>
      <c r="D347" s="21"/>
      <c r="E347" s="21"/>
      <c r="F347" s="21"/>
      <c r="L347" s="21"/>
    </row>
    <row r="348" spans="2:12" x14ac:dyDescent="0.25">
      <c r="B348" s="20"/>
      <c r="C348" s="21"/>
      <c r="D348" s="21"/>
      <c r="E348" s="21"/>
      <c r="F348" s="21"/>
      <c r="L348" s="21"/>
    </row>
    <row r="349" spans="2:12" x14ac:dyDescent="0.25">
      <c r="B349" s="20"/>
      <c r="C349" s="21"/>
      <c r="D349" s="21"/>
      <c r="E349" s="21"/>
      <c r="F349" s="21"/>
      <c r="L349" s="21"/>
    </row>
    <row r="350" spans="2:12" x14ac:dyDescent="0.25">
      <c r="B350" s="20"/>
      <c r="C350" s="21"/>
      <c r="D350" s="21"/>
      <c r="E350" s="21"/>
      <c r="F350" s="21"/>
      <c r="L350" s="21"/>
    </row>
    <row r="351" spans="2:12" x14ac:dyDescent="0.25">
      <c r="B351" s="20"/>
      <c r="C351" s="21"/>
      <c r="D351" s="21"/>
      <c r="E351" s="21"/>
      <c r="F351" s="21"/>
      <c r="L351" s="21"/>
    </row>
    <row r="352" spans="2:12" x14ac:dyDescent="0.25">
      <c r="B352" s="20"/>
      <c r="C352" s="21"/>
      <c r="D352" s="21"/>
      <c r="E352" s="21"/>
      <c r="F352" s="21"/>
      <c r="L352" s="21"/>
    </row>
    <row r="353" spans="2:12" x14ac:dyDescent="0.25">
      <c r="B353" s="20"/>
      <c r="C353" s="21"/>
      <c r="D353" s="21"/>
      <c r="E353" s="21"/>
      <c r="F353" s="21"/>
      <c r="L353" s="21"/>
    </row>
    <row r="354" spans="2:12" x14ac:dyDescent="0.25">
      <c r="B354" s="20"/>
      <c r="C354" s="21"/>
      <c r="D354" s="21"/>
      <c r="E354" s="21"/>
      <c r="F354" s="21"/>
      <c r="L354" s="21"/>
    </row>
    <row r="355" spans="2:12" x14ac:dyDescent="0.25">
      <c r="B355" s="20"/>
      <c r="C355" s="21"/>
      <c r="D355" s="21"/>
      <c r="E355" s="21"/>
      <c r="F355" s="21"/>
      <c r="L355" s="21"/>
    </row>
    <row r="356" spans="2:12" x14ac:dyDescent="0.25">
      <c r="B356" s="20"/>
      <c r="C356" s="21"/>
      <c r="D356" s="21"/>
      <c r="E356" s="21"/>
      <c r="F356" s="21"/>
      <c r="L356" s="21"/>
    </row>
    <row r="357" spans="2:12" x14ac:dyDescent="0.25">
      <c r="B357" s="20"/>
      <c r="C357" s="21"/>
      <c r="D357" s="21"/>
      <c r="E357" s="21"/>
      <c r="F357" s="21"/>
      <c r="L357" s="21"/>
    </row>
    <row r="358" spans="2:12" x14ac:dyDescent="0.25">
      <c r="B358" s="20"/>
      <c r="C358" s="21"/>
      <c r="D358" s="21"/>
      <c r="E358" s="21"/>
      <c r="F358" s="21"/>
      <c r="L358" s="21"/>
    </row>
    <row r="359" spans="2:12" x14ac:dyDescent="0.25">
      <c r="B359" s="20"/>
      <c r="C359" s="21"/>
      <c r="D359" s="21"/>
      <c r="E359" s="21"/>
      <c r="F359" s="21"/>
      <c r="L359" s="21"/>
    </row>
    <row r="360" spans="2:12" x14ac:dyDescent="0.25">
      <c r="B360" s="20"/>
      <c r="C360" s="21"/>
      <c r="D360" s="21"/>
      <c r="E360" s="21"/>
      <c r="F360" s="21"/>
      <c r="L360" s="21"/>
    </row>
    <row r="361" spans="2:12" x14ac:dyDescent="0.25">
      <c r="B361" s="20"/>
      <c r="C361" s="21"/>
      <c r="D361" s="21"/>
      <c r="E361" s="21"/>
      <c r="F361" s="21"/>
      <c r="L361" s="21"/>
    </row>
    <row r="362" spans="2:12" x14ac:dyDescent="0.25">
      <c r="B362" s="20"/>
      <c r="C362" s="21"/>
      <c r="D362" s="21"/>
      <c r="E362" s="21"/>
      <c r="F362" s="21"/>
      <c r="L362" s="21"/>
    </row>
    <row r="363" spans="2:12" x14ac:dyDescent="0.25">
      <c r="B363" s="20"/>
      <c r="C363" s="21"/>
      <c r="D363" s="21"/>
      <c r="E363" s="21"/>
      <c r="F363" s="21"/>
      <c r="L363" s="21"/>
    </row>
    <row r="364" spans="2:12" x14ac:dyDescent="0.25">
      <c r="B364" s="20"/>
      <c r="C364" s="21"/>
      <c r="D364" s="21"/>
      <c r="E364" s="21"/>
      <c r="F364" s="21"/>
      <c r="L364" s="21"/>
    </row>
    <row r="365" spans="2:12" x14ac:dyDescent="0.25">
      <c r="B365" s="20"/>
      <c r="C365" s="21"/>
      <c r="D365" s="21"/>
      <c r="E365" s="21"/>
      <c r="F365" s="21"/>
      <c r="L365" s="21"/>
    </row>
    <row r="366" spans="2:12" x14ac:dyDescent="0.25">
      <c r="B366" s="20"/>
      <c r="C366" s="21"/>
      <c r="D366" s="21"/>
      <c r="E366" s="21"/>
      <c r="F366" s="21"/>
      <c r="L366" s="21"/>
    </row>
    <row r="367" spans="2:12" x14ac:dyDescent="0.25">
      <c r="B367" s="20"/>
      <c r="C367" s="21"/>
      <c r="D367" s="21"/>
      <c r="E367" s="21"/>
      <c r="F367" s="21"/>
      <c r="L367" s="21"/>
    </row>
    <row r="368" spans="2:12" x14ac:dyDescent="0.25">
      <c r="B368" s="20"/>
      <c r="C368" s="21"/>
      <c r="D368" s="21"/>
      <c r="E368" s="21"/>
      <c r="F368" s="21"/>
      <c r="L368" s="21"/>
    </row>
    <row r="369" spans="2:12" x14ac:dyDescent="0.25">
      <c r="B369" s="20"/>
      <c r="C369" s="21"/>
      <c r="D369" s="21"/>
      <c r="E369" s="21"/>
      <c r="F369" s="21"/>
      <c r="L369" s="21"/>
    </row>
    <row r="370" spans="2:12" x14ac:dyDescent="0.25">
      <c r="B370" s="20"/>
      <c r="C370" s="21"/>
      <c r="D370" s="21"/>
      <c r="E370" s="21"/>
      <c r="F370" s="21"/>
      <c r="L370" s="21"/>
    </row>
    <row r="371" spans="2:12" x14ac:dyDescent="0.25">
      <c r="B371" s="20"/>
      <c r="C371" s="21"/>
      <c r="D371" s="21"/>
      <c r="E371" s="21"/>
      <c r="F371" s="21"/>
      <c r="L371" s="21"/>
    </row>
    <row r="372" spans="2:12" x14ac:dyDescent="0.25">
      <c r="B372" s="20"/>
      <c r="C372" s="21"/>
      <c r="D372" s="21"/>
      <c r="E372" s="21"/>
      <c r="F372" s="21"/>
      <c r="L372" s="21"/>
    </row>
    <row r="373" spans="2:12" x14ac:dyDescent="0.25">
      <c r="B373" s="20"/>
      <c r="C373" s="21"/>
      <c r="D373" s="21"/>
      <c r="E373" s="21"/>
      <c r="F373" s="21"/>
      <c r="L373" s="21"/>
    </row>
    <row r="374" spans="2:12" x14ac:dyDescent="0.25">
      <c r="B374" s="20"/>
      <c r="C374" s="21"/>
      <c r="D374" s="21"/>
      <c r="E374" s="21"/>
      <c r="F374" s="21"/>
      <c r="L374" s="21"/>
    </row>
    <row r="375" spans="2:12" x14ac:dyDescent="0.25">
      <c r="B375" s="20"/>
      <c r="C375" s="21"/>
      <c r="D375" s="21"/>
      <c r="E375" s="21"/>
      <c r="F375" s="21"/>
      <c r="L375" s="21"/>
    </row>
    <row r="376" spans="2:12" x14ac:dyDescent="0.25">
      <c r="B376" s="20"/>
      <c r="C376" s="21"/>
      <c r="D376" s="21"/>
      <c r="E376" s="21"/>
      <c r="F376" s="21"/>
      <c r="L376" s="21"/>
    </row>
    <row r="377" spans="2:12" x14ac:dyDescent="0.25">
      <c r="B377" s="20"/>
      <c r="C377" s="21"/>
      <c r="D377" s="21"/>
      <c r="E377" s="21"/>
      <c r="F377" s="21"/>
      <c r="L377" s="21"/>
    </row>
    <row r="378" spans="2:12" x14ac:dyDescent="0.25">
      <c r="B378" s="20"/>
      <c r="C378" s="21"/>
      <c r="D378" s="21"/>
      <c r="E378" s="21"/>
      <c r="F378" s="21"/>
      <c r="L378" s="21"/>
    </row>
    <row r="379" spans="2:12" x14ac:dyDescent="0.25">
      <c r="B379" s="20"/>
      <c r="C379" s="21"/>
      <c r="D379" s="21"/>
      <c r="E379" s="21"/>
      <c r="F379" s="21"/>
      <c r="L379" s="21"/>
    </row>
    <row r="380" spans="2:12" x14ac:dyDescent="0.25">
      <c r="B380" s="20"/>
      <c r="C380" s="21"/>
      <c r="D380" s="21"/>
      <c r="E380" s="21"/>
      <c r="F380" s="21"/>
      <c r="L380" s="21"/>
    </row>
    <row r="381" spans="2:12" x14ac:dyDescent="0.25">
      <c r="B381" s="20"/>
      <c r="C381" s="21"/>
      <c r="D381" s="21"/>
      <c r="E381" s="21"/>
      <c r="F381" s="21"/>
      <c r="L381" s="21"/>
    </row>
    <row r="382" spans="2:12" x14ac:dyDescent="0.25">
      <c r="B382" s="20"/>
      <c r="C382" s="21"/>
      <c r="D382" s="21"/>
      <c r="E382" s="21"/>
      <c r="F382" s="21"/>
      <c r="L382" s="21"/>
    </row>
    <row r="383" spans="2:12" x14ac:dyDescent="0.25">
      <c r="B383" s="20"/>
      <c r="C383" s="21"/>
      <c r="D383" s="21"/>
      <c r="E383" s="21"/>
      <c r="F383" s="21"/>
      <c r="L383" s="21"/>
    </row>
    <row r="384" spans="2:12" x14ac:dyDescent="0.25">
      <c r="B384" s="20"/>
      <c r="C384" s="21"/>
      <c r="D384" s="21"/>
      <c r="E384" s="21"/>
      <c r="F384" s="21"/>
      <c r="L384" s="21"/>
    </row>
    <row r="385" spans="2:12" x14ac:dyDescent="0.25">
      <c r="B385" s="20"/>
      <c r="C385" s="21"/>
      <c r="D385" s="21"/>
      <c r="E385" s="21"/>
      <c r="F385" s="21"/>
      <c r="L385" s="21"/>
    </row>
    <row r="386" spans="2:12" x14ac:dyDescent="0.25">
      <c r="B386" s="20"/>
      <c r="C386" s="21"/>
      <c r="D386" s="21"/>
      <c r="E386" s="21"/>
      <c r="F386" s="21"/>
      <c r="L386" s="21"/>
    </row>
    <row r="387" spans="2:12" x14ac:dyDescent="0.25">
      <c r="B387" s="20"/>
      <c r="C387" s="21"/>
      <c r="D387" s="21"/>
      <c r="E387" s="21"/>
      <c r="F387" s="21"/>
      <c r="L387" s="21"/>
    </row>
    <row r="388" spans="2:12" x14ac:dyDescent="0.25">
      <c r="B388" s="20"/>
      <c r="C388" s="21"/>
      <c r="D388" s="21"/>
      <c r="E388" s="21"/>
      <c r="F388" s="21"/>
      <c r="L388" s="21"/>
    </row>
    <row r="389" spans="2:12" x14ac:dyDescent="0.25">
      <c r="B389" s="20"/>
      <c r="C389" s="21"/>
      <c r="D389" s="21"/>
      <c r="E389" s="21"/>
      <c r="F389" s="21"/>
      <c r="L389" s="21"/>
    </row>
    <row r="390" spans="2:12" x14ac:dyDescent="0.25">
      <c r="B390" s="20"/>
      <c r="C390" s="21"/>
      <c r="D390" s="21"/>
      <c r="E390" s="21"/>
      <c r="F390" s="21"/>
      <c r="L390" s="21"/>
    </row>
    <row r="391" spans="2:12" x14ac:dyDescent="0.25">
      <c r="B391" s="20"/>
      <c r="C391" s="21"/>
      <c r="D391" s="21"/>
      <c r="E391" s="21"/>
      <c r="F391" s="21"/>
      <c r="L391" s="21"/>
    </row>
    <row r="392" spans="2:12" x14ac:dyDescent="0.25">
      <c r="B392" s="20"/>
      <c r="C392" s="21"/>
      <c r="D392" s="21"/>
      <c r="E392" s="21"/>
      <c r="F392" s="21"/>
      <c r="L392" s="21"/>
    </row>
    <row r="393" spans="2:12" x14ac:dyDescent="0.25">
      <c r="B393" s="20"/>
      <c r="C393" s="21"/>
      <c r="D393" s="21"/>
      <c r="E393" s="21"/>
      <c r="F393" s="21"/>
      <c r="L393" s="21"/>
    </row>
    <row r="394" spans="2:12" x14ac:dyDescent="0.25">
      <c r="B394" s="20"/>
      <c r="C394" s="21"/>
      <c r="D394" s="21"/>
      <c r="E394" s="21"/>
      <c r="F394" s="21"/>
      <c r="L394" s="21"/>
    </row>
    <row r="395" spans="2:12" x14ac:dyDescent="0.25">
      <c r="B395" s="20"/>
      <c r="C395" s="21"/>
      <c r="D395" s="21"/>
      <c r="E395" s="21"/>
      <c r="F395" s="21"/>
      <c r="L395" s="21"/>
    </row>
    <row r="396" spans="2:12" x14ac:dyDescent="0.25">
      <c r="B396" s="20"/>
      <c r="C396" s="21"/>
      <c r="D396" s="21"/>
      <c r="E396" s="21"/>
      <c r="F396" s="21"/>
      <c r="L396" s="21"/>
    </row>
    <row r="397" spans="2:12" x14ac:dyDescent="0.25">
      <c r="B397" s="20"/>
      <c r="C397" s="21"/>
      <c r="D397" s="21"/>
      <c r="E397" s="21"/>
      <c r="F397" s="21"/>
      <c r="L397" s="21"/>
    </row>
    <row r="398" spans="2:12" x14ac:dyDescent="0.25">
      <c r="B398" s="20"/>
      <c r="C398" s="21"/>
      <c r="D398" s="21"/>
      <c r="E398" s="21"/>
      <c r="F398" s="21"/>
      <c r="L398" s="21"/>
    </row>
    <row r="399" spans="2:12" x14ac:dyDescent="0.25">
      <c r="B399" s="20"/>
      <c r="C399" s="21"/>
      <c r="D399" s="21"/>
      <c r="E399" s="21"/>
      <c r="F399" s="21"/>
      <c r="L399" s="21"/>
    </row>
    <row r="400" spans="2:12" x14ac:dyDescent="0.25">
      <c r="B400" s="20"/>
      <c r="C400" s="21"/>
      <c r="D400" s="21"/>
      <c r="E400" s="21"/>
      <c r="F400" s="21"/>
      <c r="L400" s="21"/>
    </row>
    <row r="401" spans="2:12" x14ac:dyDescent="0.25">
      <c r="B401" s="20"/>
      <c r="C401" s="21"/>
      <c r="D401" s="21"/>
      <c r="E401" s="21"/>
      <c r="F401" s="21"/>
      <c r="L401" s="21"/>
    </row>
    <row r="402" spans="2:12" x14ac:dyDescent="0.25">
      <c r="B402" s="20"/>
      <c r="C402" s="21"/>
      <c r="D402" s="21"/>
      <c r="E402" s="21"/>
      <c r="F402" s="21"/>
      <c r="L402" s="21"/>
    </row>
    <row r="403" spans="2:12" x14ac:dyDescent="0.25">
      <c r="B403" s="20"/>
      <c r="C403" s="21"/>
      <c r="D403" s="21"/>
      <c r="E403" s="21"/>
      <c r="F403" s="21"/>
      <c r="L403" s="21"/>
    </row>
    <row r="404" spans="2:12" x14ac:dyDescent="0.25">
      <c r="B404" s="20"/>
      <c r="C404" s="21"/>
      <c r="D404" s="21"/>
      <c r="E404" s="21"/>
      <c r="F404" s="21"/>
      <c r="L404" s="21"/>
    </row>
    <row r="405" spans="2:12" x14ac:dyDescent="0.25">
      <c r="B405" s="20"/>
      <c r="C405" s="21"/>
      <c r="D405" s="21"/>
      <c r="E405" s="21"/>
      <c r="F405" s="21"/>
      <c r="L405" s="21"/>
    </row>
    <row r="406" spans="2:12" x14ac:dyDescent="0.25">
      <c r="B406" s="20"/>
      <c r="C406" s="21"/>
      <c r="D406" s="21"/>
      <c r="E406" s="21"/>
      <c r="F406" s="21"/>
      <c r="L406" s="21"/>
    </row>
    <row r="407" spans="2:12" x14ac:dyDescent="0.25">
      <c r="B407" s="20"/>
      <c r="C407" s="21"/>
      <c r="D407" s="21"/>
      <c r="E407" s="21"/>
      <c r="F407" s="21"/>
      <c r="L407" s="21"/>
    </row>
    <row r="408" spans="2:12" x14ac:dyDescent="0.25">
      <c r="B408" s="20"/>
      <c r="C408" s="21"/>
      <c r="D408" s="21"/>
      <c r="E408" s="21"/>
      <c r="F408" s="21"/>
      <c r="L408" s="21"/>
    </row>
    <row r="409" spans="2:12" x14ac:dyDescent="0.25">
      <c r="B409" s="20"/>
      <c r="C409" s="21"/>
      <c r="D409" s="21"/>
      <c r="E409" s="21"/>
      <c r="F409" s="21"/>
      <c r="L409" s="21"/>
    </row>
    <row r="410" spans="2:12" x14ac:dyDescent="0.25">
      <c r="B410" s="20"/>
      <c r="C410" s="21"/>
      <c r="D410" s="21"/>
      <c r="E410" s="21"/>
      <c r="F410" s="21"/>
      <c r="L410" s="21"/>
    </row>
    <row r="411" spans="2:12" x14ac:dyDescent="0.25">
      <c r="B411" s="20"/>
      <c r="C411" s="21"/>
      <c r="D411" s="21"/>
      <c r="E411" s="21"/>
      <c r="F411" s="21"/>
      <c r="L411" s="21"/>
    </row>
    <row r="412" spans="2:12" x14ac:dyDescent="0.25">
      <c r="B412" s="20"/>
      <c r="C412" s="21"/>
      <c r="D412" s="21"/>
      <c r="E412" s="21"/>
      <c r="F412" s="21"/>
      <c r="L412" s="21"/>
    </row>
    <row r="413" spans="2:12" x14ac:dyDescent="0.25">
      <c r="B413" s="20"/>
      <c r="C413" s="21"/>
      <c r="D413" s="21"/>
      <c r="E413" s="21"/>
      <c r="F413" s="21"/>
      <c r="L413" s="21"/>
    </row>
    <row r="414" spans="2:12" x14ac:dyDescent="0.25">
      <c r="B414" s="20"/>
      <c r="C414" s="21"/>
      <c r="D414" s="21"/>
      <c r="E414" s="21"/>
      <c r="F414" s="21"/>
      <c r="L414" s="21"/>
    </row>
    <row r="415" spans="2:12" x14ac:dyDescent="0.25">
      <c r="B415" s="20"/>
      <c r="C415" s="21"/>
      <c r="D415" s="21"/>
      <c r="E415" s="21"/>
      <c r="F415" s="21"/>
      <c r="L415" s="21"/>
    </row>
    <row r="416" spans="2:12" x14ac:dyDescent="0.25">
      <c r="B416" s="20"/>
      <c r="C416" s="21"/>
      <c r="D416" s="21"/>
      <c r="E416" s="21"/>
      <c r="F416" s="21"/>
      <c r="L416" s="21"/>
    </row>
    <row r="417" spans="2:12" x14ac:dyDescent="0.25">
      <c r="B417" s="20"/>
      <c r="C417" s="21"/>
      <c r="D417" s="21"/>
      <c r="E417" s="21"/>
      <c r="F417" s="21"/>
      <c r="L417" s="21"/>
    </row>
    <row r="418" spans="2:12" x14ac:dyDescent="0.25">
      <c r="B418" s="20"/>
      <c r="C418" s="21"/>
      <c r="D418" s="21"/>
      <c r="E418" s="21"/>
      <c r="F418" s="21"/>
      <c r="L418" s="21"/>
    </row>
    <row r="419" spans="2:12" x14ac:dyDescent="0.25">
      <c r="B419" s="20"/>
      <c r="C419" s="21"/>
      <c r="D419" s="21"/>
      <c r="E419" s="21"/>
      <c r="F419" s="21"/>
      <c r="L419" s="21"/>
    </row>
    <row r="420" spans="2:12" x14ac:dyDescent="0.25">
      <c r="B420" s="20"/>
      <c r="C420" s="21"/>
      <c r="D420" s="21"/>
      <c r="E420" s="21"/>
      <c r="F420" s="21"/>
      <c r="L420" s="21"/>
    </row>
    <row r="421" spans="2:12" x14ac:dyDescent="0.25">
      <c r="B421" s="20"/>
      <c r="C421" s="21"/>
      <c r="D421" s="21"/>
      <c r="E421" s="21"/>
      <c r="F421" s="21"/>
      <c r="L421" s="21"/>
    </row>
    <row r="422" spans="2:12" x14ac:dyDescent="0.25">
      <c r="B422" s="20"/>
      <c r="C422" s="21"/>
      <c r="D422" s="21"/>
      <c r="E422" s="21"/>
      <c r="F422" s="21"/>
      <c r="L422" s="21"/>
    </row>
    <row r="423" spans="2:12" x14ac:dyDescent="0.25">
      <c r="B423" s="20"/>
      <c r="C423" s="21"/>
      <c r="D423" s="21"/>
      <c r="E423" s="21"/>
      <c r="F423" s="21"/>
      <c r="L423" s="21"/>
    </row>
    <row r="424" spans="2:12" x14ac:dyDescent="0.25">
      <c r="B424" s="20"/>
      <c r="C424" s="21"/>
      <c r="D424" s="21"/>
      <c r="E424" s="21"/>
      <c r="F424" s="21"/>
      <c r="L424" s="21"/>
    </row>
    <row r="425" spans="2:12" x14ac:dyDescent="0.25">
      <c r="B425" s="20"/>
      <c r="C425" s="21"/>
      <c r="D425" s="21"/>
      <c r="E425" s="21"/>
      <c r="F425" s="21"/>
      <c r="L425" s="21"/>
    </row>
    <row r="426" spans="2:12" x14ac:dyDescent="0.25">
      <c r="B426" s="20"/>
      <c r="C426" s="21"/>
      <c r="D426" s="21"/>
      <c r="E426" s="21"/>
      <c r="F426" s="21"/>
      <c r="L426" s="21"/>
    </row>
    <row r="427" spans="2:12" x14ac:dyDescent="0.25">
      <c r="B427" s="20"/>
      <c r="C427" s="21"/>
      <c r="D427" s="21"/>
      <c r="E427" s="21"/>
      <c r="F427" s="21"/>
      <c r="L427" s="21"/>
    </row>
    <row r="428" spans="2:12" x14ac:dyDescent="0.25">
      <c r="B428" s="20"/>
      <c r="C428" s="21"/>
      <c r="D428" s="21"/>
      <c r="E428" s="21"/>
      <c r="F428" s="21"/>
      <c r="L428" s="21"/>
    </row>
    <row r="429" spans="2:12" x14ac:dyDescent="0.25">
      <c r="B429" s="20"/>
      <c r="C429" s="21"/>
      <c r="D429" s="21"/>
      <c r="E429" s="21"/>
      <c r="F429" s="21"/>
      <c r="L429" s="21"/>
    </row>
    <row r="430" spans="2:12" x14ac:dyDescent="0.25">
      <c r="B430" s="20"/>
      <c r="C430" s="21"/>
      <c r="D430" s="21"/>
      <c r="E430" s="21"/>
      <c r="F430" s="21"/>
      <c r="L430" s="21"/>
    </row>
    <row r="431" spans="2:12" x14ac:dyDescent="0.25">
      <c r="B431" s="20"/>
      <c r="C431" s="21"/>
      <c r="D431" s="21"/>
      <c r="E431" s="21"/>
      <c r="F431" s="21"/>
      <c r="L431" s="21"/>
    </row>
    <row r="432" spans="2:12" x14ac:dyDescent="0.25">
      <c r="B432" s="20"/>
      <c r="C432" s="21"/>
      <c r="D432" s="21"/>
      <c r="E432" s="21"/>
      <c r="F432" s="21"/>
      <c r="L432" s="21"/>
    </row>
    <row r="433" spans="2:12" x14ac:dyDescent="0.25">
      <c r="B433" s="20"/>
      <c r="C433" s="21"/>
      <c r="D433" s="21"/>
      <c r="E433" s="21"/>
      <c r="F433" s="21"/>
      <c r="L433" s="21"/>
    </row>
    <row r="434" spans="2:12" x14ac:dyDescent="0.25">
      <c r="B434" s="20"/>
      <c r="C434" s="21"/>
      <c r="D434" s="21"/>
      <c r="E434" s="21"/>
      <c r="F434" s="21"/>
      <c r="L434" s="21"/>
    </row>
    <row r="435" spans="2:12" x14ac:dyDescent="0.25">
      <c r="B435" s="20"/>
      <c r="C435" s="21"/>
      <c r="D435" s="21"/>
      <c r="E435" s="21"/>
      <c r="F435" s="21"/>
      <c r="L435" s="21"/>
    </row>
    <row r="436" spans="2:12" x14ac:dyDescent="0.25">
      <c r="B436" s="20"/>
      <c r="C436" s="21"/>
      <c r="D436" s="21"/>
      <c r="E436" s="21"/>
      <c r="F436" s="21"/>
      <c r="L436" s="21"/>
    </row>
    <row r="437" spans="2:12" x14ac:dyDescent="0.25">
      <c r="B437" s="20"/>
      <c r="C437" s="21"/>
      <c r="D437" s="21"/>
      <c r="E437" s="21"/>
      <c r="F437" s="21"/>
      <c r="L437" s="21"/>
    </row>
    <row r="438" spans="2:12" x14ac:dyDescent="0.25">
      <c r="B438" s="20"/>
      <c r="C438" s="21"/>
      <c r="D438" s="21"/>
      <c r="E438" s="21"/>
      <c r="F438" s="21"/>
      <c r="L438" s="21"/>
    </row>
    <row r="439" spans="2:12" x14ac:dyDescent="0.25">
      <c r="B439" s="20"/>
      <c r="C439" s="21"/>
      <c r="D439" s="21"/>
      <c r="E439" s="21"/>
      <c r="F439" s="21"/>
      <c r="L439" s="21"/>
    </row>
    <row r="440" spans="2:12" x14ac:dyDescent="0.25">
      <c r="B440" s="20"/>
      <c r="C440" s="21"/>
      <c r="D440" s="21"/>
      <c r="E440" s="21"/>
      <c r="F440" s="21"/>
      <c r="L440" s="21"/>
    </row>
    <row r="441" spans="2:12" x14ac:dyDescent="0.25">
      <c r="B441" s="20"/>
      <c r="C441" s="21"/>
      <c r="D441" s="21"/>
      <c r="E441" s="21"/>
      <c r="F441" s="21"/>
      <c r="L441" s="21"/>
    </row>
    <row r="442" spans="2:12" x14ac:dyDescent="0.25">
      <c r="B442" s="20"/>
      <c r="C442" s="21"/>
      <c r="D442" s="21"/>
      <c r="E442" s="21"/>
      <c r="F442" s="21"/>
      <c r="L442" s="21"/>
    </row>
    <row r="443" spans="2:12" x14ac:dyDescent="0.25">
      <c r="B443" s="20"/>
      <c r="C443" s="21"/>
      <c r="D443" s="21"/>
      <c r="E443" s="21"/>
      <c r="F443" s="21"/>
      <c r="L443" s="21"/>
    </row>
    <row r="444" spans="2:12" x14ac:dyDescent="0.25">
      <c r="B444" s="20"/>
      <c r="C444" s="21"/>
      <c r="D444" s="21"/>
      <c r="E444" s="21"/>
      <c r="F444" s="21"/>
      <c r="L444" s="21"/>
    </row>
    <row r="445" spans="2:12" x14ac:dyDescent="0.25">
      <c r="B445" s="20"/>
      <c r="C445" s="21"/>
      <c r="D445" s="21"/>
      <c r="E445" s="21"/>
      <c r="F445" s="21"/>
      <c r="L445" s="21"/>
    </row>
    <row r="446" spans="2:12" x14ac:dyDescent="0.25">
      <c r="B446" s="20"/>
      <c r="C446" s="21"/>
      <c r="D446" s="21"/>
      <c r="E446" s="21"/>
      <c r="F446" s="21"/>
      <c r="L446" s="21"/>
    </row>
    <row r="447" spans="2:12" x14ac:dyDescent="0.25">
      <c r="B447" s="20"/>
      <c r="C447" s="21"/>
      <c r="D447" s="21"/>
      <c r="E447" s="21"/>
      <c r="F447" s="21"/>
      <c r="L447" s="21"/>
    </row>
    <row r="448" spans="2:12" x14ac:dyDescent="0.25">
      <c r="B448" s="20"/>
      <c r="C448" s="21"/>
      <c r="D448" s="21"/>
      <c r="E448" s="21"/>
      <c r="F448" s="21"/>
      <c r="L448" s="21"/>
    </row>
    <row r="449" spans="2:12" x14ac:dyDescent="0.25">
      <c r="B449" s="20"/>
      <c r="C449" s="21"/>
      <c r="D449" s="21"/>
      <c r="E449" s="21"/>
      <c r="F449" s="21"/>
      <c r="L449" s="21"/>
    </row>
    <row r="450" spans="2:12" x14ac:dyDescent="0.25">
      <c r="B450" s="20"/>
      <c r="C450" s="21"/>
      <c r="D450" s="21"/>
      <c r="E450" s="21"/>
      <c r="F450" s="21"/>
      <c r="L450" s="21"/>
    </row>
    <row r="451" spans="2:12" x14ac:dyDescent="0.25">
      <c r="B451" s="20"/>
      <c r="C451" s="21"/>
      <c r="D451" s="21"/>
      <c r="E451" s="21"/>
      <c r="F451" s="21"/>
      <c r="L451" s="21"/>
    </row>
    <row r="452" spans="2:12" x14ac:dyDescent="0.25">
      <c r="B452" s="20"/>
      <c r="C452" s="21"/>
      <c r="D452" s="21"/>
      <c r="E452" s="21"/>
      <c r="F452" s="21"/>
      <c r="L452" s="21"/>
    </row>
    <row r="453" spans="2:12" x14ac:dyDescent="0.25">
      <c r="B453" s="20"/>
      <c r="C453" s="21"/>
      <c r="D453" s="21"/>
      <c r="E453" s="21"/>
      <c r="F453" s="21"/>
      <c r="L453" s="21"/>
    </row>
    <row r="454" spans="2:12" x14ac:dyDescent="0.25">
      <c r="B454" s="20"/>
      <c r="C454" s="21"/>
      <c r="D454" s="21"/>
      <c r="E454" s="21"/>
      <c r="F454" s="21"/>
      <c r="L454" s="21"/>
    </row>
    <row r="455" spans="2:12" x14ac:dyDescent="0.25">
      <c r="B455" s="20"/>
      <c r="C455" s="21"/>
      <c r="D455" s="21"/>
      <c r="E455" s="21"/>
      <c r="F455" s="21"/>
      <c r="L455" s="21"/>
    </row>
    <row r="456" spans="2:12" x14ac:dyDescent="0.25">
      <c r="B456" s="20"/>
      <c r="C456" s="21"/>
      <c r="D456" s="21"/>
      <c r="E456" s="21"/>
      <c r="F456" s="21"/>
      <c r="L456" s="21"/>
    </row>
    <row r="457" spans="2:12" x14ac:dyDescent="0.25">
      <c r="B457" s="20"/>
      <c r="C457" s="21"/>
      <c r="D457" s="21"/>
      <c r="E457" s="21"/>
      <c r="F457" s="21"/>
      <c r="L457" s="21"/>
    </row>
    <row r="458" spans="2:12" x14ac:dyDescent="0.25">
      <c r="B458" s="20"/>
      <c r="C458" s="21"/>
      <c r="D458" s="21"/>
      <c r="E458" s="21"/>
      <c r="F458" s="21"/>
      <c r="L458" s="21"/>
    </row>
    <row r="459" spans="2:12" x14ac:dyDescent="0.25">
      <c r="B459" s="20"/>
      <c r="C459" s="21"/>
      <c r="D459" s="21"/>
      <c r="E459" s="21"/>
      <c r="F459" s="21"/>
      <c r="L459" s="21"/>
    </row>
    <row r="460" spans="2:12" x14ac:dyDescent="0.25">
      <c r="B460" s="20"/>
      <c r="C460" s="21"/>
      <c r="D460" s="21"/>
      <c r="E460" s="21"/>
      <c r="F460" s="21"/>
      <c r="L460" s="21"/>
    </row>
    <row r="461" spans="2:12" x14ac:dyDescent="0.25">
      <c r="B461" s="20"/>
      <c r="C461" s="21"/>
      <c r="D461" s="21"/>
      <c r="E461" s="21"/>
      <c r="F461" s="21"/>
      <c r="L461" s="21"/>
    </row>
    <row r="462" spans="2:12" x14ac:dyDescent="0.25">
      <c r="B462" s="20"/>
      <c r="C462" s="21"/>
      <c r="D462" s="21"/>
      <c r="E462" s="21"/>
      <c r="F462" s="21"/>
      <c r="L462" s="21"/>
    </row>
    <row r="463" spans="2:12" x14ac:dyDescent="0.25">
      <c r="B463" s="20"/>
      <c r="C463" s="21"/>
      <c r="D463" s="21"/>
      <c r="E463" s="21"/>
      <c r="F463" s="21"/>
      <c r="L463" s="21"/>
    </row>
    <row r="464" spans="2:12" x14ac:dyDescent="0.25">
      <c r="B464" s="20"/>
      <c r="C464" s="21"/>
      <c r="D464" s="21"/>
      <c r="E464" s="21"/>
      <c r="F464" s="21"/>
      <c r="L464" s="21"/>
    </row>
    <row r="465" spans="2:12" x14ac:dyDescent="0.25">
      <c r="B465" s="20"/>
      <c r="C465" s="21"/>
      <c r="D465" s="21"/>
      <c r="E465" s="21"/>
      <c r="F465" s="21"/>
      <c r="L465" s="21"/>
    </row>
    <row r="466" spans="2:12" x14ac:dyDescent="0.25">
      <c r="B466" s="20"/>
      <c r="C466" s="21"/>
      <c r="D466" s="21"/>
      <c r="E466" s="21"/>
      <c r="F466" s="21"/>
      <c r="L466" s="21"/>
    </row>
    <row r="467" spans="2:12" x14ac:dyDescent="0.25">
      <c r="B467" s="20"/>
      <c r="C467" s="21"/>
      <c r="D467" s="21"/>
      <c r="E467" s="21"/>
      <c r="F467" s="21"/>
      <c r="L467" s="21"/>
    </row>
    <row r="468" spans="2:12" x14ac:dyDescent="0.25">
      <c r="B468" s="20"/>
      <c r="C468" s="21"/>
      <c r="D468" s="21"/>
      <c r="E468" s="21"/>
      <c r="F468" s="21"/>
      <c r="L468" s="21"/>
    </row>
    <row r="469" spans="2:12" x14ac:dyDescent="0.25">
      <c r="B469" s="20"/>
      <c r="C469" s="21"/>
      <c r="D469" s="21"/>
      <c r="E469" s="21"/>
      <c r="F469" s="21"/>
      <c r="L469" s="21"/>
    </row>
    <row r="470" spans="2:12" x14ac:dyDescent="0.25">
      <c r="B470" s="20"/>
      <c r="C470" s="21"/>
      <c r="D470" s="21"/>
      <c r="E470" s="21"/>
      <c r="F470" s="21"/>
      <c r="L470" s="21"/>
    </row>
    <row r="471" spans="2:12" x14ac:dyDescent="0.25">
      <c r="B471" s="20"/>
      <c r="C471" s="21"/>
      <c r="D471" s="21"/>
      <c r="E471" s="21"/>
      <c r="F471" s="21"/>
      <c r="L471" s="21"/>
    </row>
    <row r="472" spans="2:12" x14ac:dyDescent="0.25">
      <c r="B472" s="20"/>
      <c r="C472" s="21"/>
      <c r="D472" s="21"/>
      <c r="E472" s="21"/>
      <c r="F472" s="21"/>
      <c r="L472" s="21"/>
    </row>
    <row r="473" spans="2:12" x14ac:dyDescent="0.25">
      <c r="B473" s="20"/>
      <c r="C473" s="21"/>
      <c r="D473" s="21"/>
      <c r="E473" s="21"/>
      <c r="F473" s="21"/>
      <c r="L473" s="21"/>
    </row>
    <row r="474" spans="2:12" x14ac:dyDescent="0.25">
      <c r="B474" s="20"/>
      <c r="C474" s="21"/>
      <c r="D474" s="21"/>
      <c r="E474" s="21"/>
      <c r="F474" s="21"/>
      <c r="L474" s="21"/>
    </row>
    <row r="475" spans="2:12" x14ac:dyDescent="0.25">
      <c r="B475" s="20"/>
      <c r="C475" s="21"/>
      <c r="D475" s="21"/>
      <c r="E475" s="21"/>
      <c r="F475" s="21"/>
      <c r="L475" s="21"/>
    </row>
    <row r="476" spans="2:12" x14ac:dyDescent="0.25">
      <c r="B476" s="20"/>
      <c r="C476" s="21"/>
      <c r="D476" s="21"/>
      <c r="E476" s="21"/>
      <c r="F476" s="21"/>
      <c r="L476" s="21"/>
    </row>
    <row r="477" spans="2:12" x14ac:dyDescent="0.25">
      <c r="B477" s="20"/>
      <c r="C477" s="21"/>
      <c r="D477" s="21"/>
      <c r="E477" s="21"/>
      <c r="F477" s="21"/>
      <c r="L477" s="21"/>
    </row>
    <row r="478" spans="2:12" x14ac:dyDescent="0.25">
      <c r="B478" s="20"/>
      <c r="C478" s="21"/>
      <c r="D478" s="21"/>
      <c r="E478" s="21"/>
      <c r="F478" s="21"/>
      <c r="L478" s="21"/>
    </row>
    <row r="479" spans="2:12" x14ac:dyDescent="0.25">
      <c r="B479" s="20"/>
      <c r="C479" s="21"/>
      <c r="D479" s="21"/>
      <c r="E479" s="21"/>
      <c r="F479" s="21"/>
      <c r="L479" s="21"/>
    </row>
    <row r="480" spans="2:12" x14ac:dyDescent="0.25">
      <c r="B480" s="20"/>
      <c r="C480" s="21"/>
      <c r="D480" s="21"/>
      <c r="E480" s="21"/>
      <c r="F480" s="21"/>
      <c r="L480" s="21"/>
    </row>
    <row r="481" spans="2:12" x14ac:dyDescent="0.25">
      <c r="B481" s="20"/>
      <c r="C481" s="21"/>
      <c r="D481" s="21"/>
      <c r="E481" s="21"/>
      <c r="F481" s="21"/>
      <c r="L481" s="21"/>
    </row>
    <row r="482" spans="2:12" x14ac:dyDescent="0.25">
      <c r="B482" s="20"/>
      <c r="C482" s="21"/>
      <c r="D482" s="21"/>
      <c r="E482" s="21"/>
      <c r="F482" s="21"/>
      <c r="L482" s="21"/>
    </row>
    <row r="483" spans="2:12" x14ac:dyDescent="0.25">
      <c r="B483" s="20"/>
      <c r="C483" s="21"/>
      <c r="D483" s="21"/>
      <c r="E483" s="21"/>
      <c r="F483" s="21"/>
      <c r="L483" s="21"/>
    </row>
    <row r="484" spans="2:12" x14ac:dyDescent="0.25">
      <c r="B484" s="20"/>
      <c r="C484" s="21"/>
      <c r="D484" s="21"/>
      <c r="E484" s="21"/>
      <c r="F484" s="21"/>
      <c r="L484" s="21"/>
    </row>
    <row r="485" spans="2:12" x14ac:dyDescent="0.25">
      <c r="B485" s="20"/>
      <c r="C485" s="21"/>
      <c r="D485" s="21"/>
      <c r="E485" s="21"/>
      <c r="F485" s="21"/>
      <c r="L485" s="21"/>
    </row>
    <row r="486" spans="2:12" x14ac:dyDescent="0.25">
      <c r="B486" s="20"/>
      <c r="C486" s="21"/>
      <c r="D486" s="21"/>
      <c r="E486" s="21"/>
      <c r="F486" s="21"/>
      <c r="L486" s="21"/>
    </row>
    <row r="487" spans="2:12" x14ac:dyDescent="0.25">
      <c r="B487" s="20"/>
      <c r="C487" s="21"/>
      <c r="D487" s="21"/>
      <c r="E487" s="21"/>
      <c r="F487" s="21"/>
      <c r="L487" s="21"/>
    </row>
    <row r="488" spans="2:12" x14ac:dyDescent="0.25">
      <c r="B488" s="20"/>
      <c r="C488" s="21"/>
      <c r="D488" s="21"/>
      <c r="E488" s="21"/>
      <c r="F488" s="21"/>
      <c r="L488" s="21"/>
    </row>
    <row r="489" spans="2:12" x14ac:dyDescent="0.25">
      <c r="B489" s="20"/>
      <c r="C489" s="21"/>
      <c r="D489" s="21"/>
      <c r="E489" s="21"/>
      <c r="F489" s="21"/>
      <c r="L489" s="21"/>
    </row>
    <row r="490" spans="2:12" x14ac:dyDescent="0.25">
      <c r="B490" s="20"/>
      <c r="C490" s="21"/>
      <c r="D490" s="21"/>
      <c r="E490" s="21"/>
      <c r="F490" s="21"/>
      <c r="L490" s="21"/>
    </row>
    <row r="491" spans="2:12" x14ac:dyDescent="0.25">
      <c r="B491" s="20"/>
      <c r="C491" s="21"/>
      <c r="D491" s="21"/>
      <c r="E491" s="21"/>
      <c r="F491" s="21"/>
      <c r="L491" s="21"/>
    </row>
    <row r="492" spans="2:12" x14ac:dyDescent="0.25">
      <c r="B492" s="20"/>
      <c r="C492" s="21"/>
      <c r="D492" s="21"/>
      <c r="E492" s="21"/>
      <c r="F492" s="21"/>
      <c r="L492" s="21"/>
    </row>
    <row r="493" spans="2:12" x14ac:dyDescent="0.25">
      <c r="B493" s="20"/>
      <c r="C493" s="21"/>
      <c r="D493" s="21"/>
      <c r="E493" s="21"/>
      <c r="F493" s="21"/>
      <c r="L493" s="21"/>
    </row>
    <row r="494" spans="2:12" x14ac:dyDescent="0.25">
      <c r="B494" s="20"/>
      <c r="C494" s="21"/>
      <c r="D494" s="21"/>
      <c r="E494" s="21"/>
      <c r="F494" s="21"/>
      <c r="L494" s="21"/>
    </row>
    <row r="495" spans="2:12" x14ac:dyDescent="0.25">
      <c r="B495" s="20"/>
      <c r="C495" s="21"/>
      <c r="D495" s="21"/>
      <c r="E495" s="21"/>
      <c r="F495" s="21"/>
      <c r="L495" s="21"/>
    </row>
    <row r="496" spans="2:12" x14ac:dyDescent="0.25">
      <c r="B496" s="20"/>
      <c r="C496" s="21"/>
      <c r="D496" s="21"/>
      <c r="E496" s="21"/>
      <c r="F496" s="21"/>
      <c r="L496" s="21"/>
    </row>
    <row r="497" spans="2:12" x14ac:dyDescent="0.25">
      <c r="B497" s="20"/>
      <c r="C497" s="21"/>
      <c r="D497" s="21"/>
      <c r="E497" s="21"/>
      <c r="F497" s="21"/>
      <c r="L497" s="21"/>
    </row>
    <row r="498" spans="2:12" x14ac:dyDescent="0.25">
      <c r="B498" s="20"/>
      <c r="C498" s="21"/>
      <c r="D498" s="21"/>
      <c r="E498" s="21"/>
      <c r="F498" s="21"/>
      <c r="L498" s="21"/>
    </row>
    <row r="499" spans="2:12" x14ac:dyDescent="0.25">
      <c r="B499" s="20"/>
      <c r="C499" s="21"/>
      <c r="D499" s="21"/>
      <c r="E499" s="21"/>
      <c r="F499" s="21"/>
      <c r="L499" s="21"/>
    </row>
    <row r="500" spans="2:12" x14ac:dyDescent="0.25">
      <c r="B500" s="20"/>
      <c r="C500" s="21"/>
      <c r="D500" s="21"/>
      <c r="E500" s="21"/>
      <c r="F500" s="21"/>
      <c r="L500" s="21"/>
    </row>
    <row r="501" spans="2:12" x14ac:dyDescent="0.25">
      <c r="B501" s="20"/>
      <c r="C501" s="21"/>
      <c r="D501" s="21"/>
      <c r="E501" s="21"/>
      <c r="F501" s="21"/>
      <c r="L501" s="21"/>
    </row>
    <row r="502" spans="2:12" x14ac:dyDescent="0.25">
      <c r="B502" s="20"/>
      <c r="C502" s="21"/>
      <c r="D502" s="21"/>
      <c r="E502" s="21"/>
      <c r="F502" s="21"/>
      <c r="L502" s="21"/>
    </row>
    <row r="503" spans="2:12" x14ac:dyDescent="0.25">
      <c r="B503" s="20"/>
      <c r="C503" s="21"/>
      <c r="D503" s="21"/>
      <c r="E503" s="21"/>
      <c r="F503" s="21"/>
      <c r="L503" s="21"/>
    </row>
    <row r="504" spans="2:12" x14ac:dyDescent="0.25">
      <c r="B504" s="20"/>
      <c r="C504" s="21"/>
      <c r="D504" s="21"/>
      <c r="E504" s="21"/>
      <c r="F504" s="21"/>
      <c r="L504" s="21"/>
    </row>
    <row r="505" spans="2:12" x14ac:dyDescent="0.25">
      <c r="B505" s="20"/>
      <c r="C505" s="21"/>
      <c r="D505" s="21"/>
      <c r="E505" s="21"/>
      <c r="F505" s="21"/>
      <c r="L505" s="21"/>
    </row>
    <row r="506" spans="2:12" x14ac:dyDescent="0.25">
      <c r="B506" s="20"/>
      <c r="C506" s="21"/>
      <c r="D506" s="21"/>
      <c r="E506" s="21"/>
      <c r="F506" s="21"/>
      <c r="L506" s="21"/>
    </row>
    <row r="507" spans="2:12" x14ac:dyDescent="0.25">
      <c r="B507" s="20"/>
      <c r="C507" s="21"/>
      <c r="D507" s="21"/>
      <c r="E507" s="21"/>
      <c r="F507" s="21"/>
      <c r="L507" s="21"/>
    </row>
    <row r="508" spans="2:12" x14ac:dyDescent="0.25">
      <c r="B508" s="20"/>
      <c r="C508" s="21"/>
      <c r="D508" s="21"/>
      <c r="E508" s="21"/>
      <c r="F508" s="21"/>
      <c r="L508" s="21"/>
    </row>
    <row r="509" spans="2:12" x14ac:dyDescent="0.25">
      <c r="B509" s="20"/>
      <c r="C509" s="21"/>
      <c r="D509" s="21"/>
      <c r="E509" s="21"/>
      <c r="F509" s="21"/>
      <c r="L509" s="21"/>
    </row>
    <row r="510" spans="2:12" x14ac:dyDescent="0.25">
      <c r="B510" s="20"/>
      <c r="C510" s="21"/>
      <c r="D510" s="21"/>
      <c r="E510" s="21"/>
      <c r="F510" s="21"/>
      <c r="L510" s="21"/>
    </row>
    <row r="511" spans="2:12" x14ac:dyDescent="0.25">
      <c r="B511" s="20"/>
      <c r="C511" s="21"/>
      <c r="D511" s="21"/>
      <c r="E511" s="21"/>
      <c r="F511" s="21"/>
      <c r="L511" s="21"/>
    </row>
    <row r="512" spans="2:12" x14ac:dyDescent="0.25">
      <c r="B512" s="20"/>
      <c r="C512" s="21"/>
      <c r="D512" s="21"/>
      <c r="E512" s="21"/>
      <c r="F512" s="21"/>
      <c r="L512" s="21"/>
    </row>
    <row r="513" spans="2:12" x14ac:dyDescent="0.25">
      <c r="B513" s="20"/>
      <c r="C513" s="21"/>
      <c r="D513" s="21"/>
      <c r="E513" s="21"/>
      <c r="F513" s="21"/>
      <c r="L513" s="21"/>
    </row>
    <row r="514" spans="2:12" x14ac:dyDescent="0.25">
      <c r="B514" s="20"/>
      <c r="C514" s="21"/>
      <c r="D514" s="21"/>
      <c r="E514" s="21"/>
      <c r="F514" s="21"/>
      <c r="L514" s="21"/>
    </row>
    <row r="515" spans="2:12" x14ac:dyDescent="0.25">
      <c r="B515" s="20"/>
      <c r="C515" s="21"/>
      <c r="D515" s="21"/>
      <c r="E515" s="21"/>
      <c r="F515" s="21"/>
      <c r="L515" s="21"/>
    </row>
    <row r="516" spans="2:12" x14ac:dyDescent="0.25">
      <c r="B516" s="20"/>
      <c r="C516" s="21"/>
      <c r="D516" s="21"/>
      <c r="E516" s="21"/>
      <c r="F516" s="21"/>
      <c r="L516" s="21"/>
    </row>
    <row r="517" spans="2:12" x14ac:dyDescent="0.25">
      <c r="B517" s="20"/>
      <c r="C517" s="21"/>
      <c r="D517" s="21"/>
      <c r="E517" s="21"/>
      <c r="F517" s="21"/>
      <c r="L517" s="21"/>
    </row>
    <row r="518" spans="2:12" x14ac:dyDescent="0.25">
      <c r="B518" s="20"/>
      <c r="C518" s="21"/>
      <c r="D518" s="21"/>
      <c r="E518" s="21"/>
      <c r="F518" s="21"/>
      <c r="L518" s="21"/>
    </row>
    <row r="519" spans="2:12" x14ac:dyDescent="0.25">
      <c r="B519" s="20"/>
      <c r="C519" s="21"/>
      <c r="D519" s="21"/>
      <c r="E519" s="21"/>
      <c r="F519" s="21"/>
      <c r="L519" s="21"/>
    </row>
    <row r="520" spans="2:12" x14ac:dyDescent="0.25">
      <c r="B520" s="20"/>
      <c r="C520" s="21"/>
      <c r="D520" s="21"/>
      <c r="E520" s="21"/>
      <c r="F520" s="21"/>
      <c r="L520" s="21"/>
    </row>
    <row r="521" spans="2:12" x14ac:dyDescent="0.25">
      <c r="B521" s="20"/>
      <c r="C521" s="21"/>
      <c r="D521" s="21"/>
      <c r="E521" s="21"/>
      <c r="F521" s="21"/>
      <c r="L521" s="21"/>
    </row>
    <row r="522" spans="2:12" x14ac:dyDescent="0.25">
      <c r="B522" s="20"/>
      <c r="C522" s="21"/>
      <c r="D522" s="21"/>
      <c r="E522" s="21"/>
      <c r="F522" s="21"/>
      <c r="L522" s="21"/>
    </row>
    <row r="523" spans="2:12" x14ac:dyDescent="0.25">
      <c r="B523" s="20"/>
      <c r="C523" s="21"/>
      <c r="D523" s="21"/>
      <c r="E523" s="21"/>
      <c r="F523" s="21"/>
      <c r="L523" s="21"/>
    </row>
    <row r="524" spans="2:12" x14ac:dyDescent="0.25">
      <c r="B524" s="20"/>
      <c r="C524" s="21"/>
      <c r="D524" s="21"/>
      <c r="E524" s="21"/>
      <c r="F524" s="21"/>
      <c r="L524" s="21"/>
    </row>
    <row r="525" spans="2:12" x14ac:dyDescent="0.25">
      <c r="B525" s="20"/>
      <c r="C525" s="21"/>
      <c r="D525" s="21"/>
      <c r="E525" s="21"/>
      <c r="F525" s="21"/>
      <c r="L525" s="21"/>
    </row>
    <row r="526" spans="2:12" x14ac:dyDescent="0.25">
      <c r="B526" s="20"/>
      <c r="C526" s="21"/>
      <c r="D526" s="21"/>
      <c r="E526" s="21"/>
      <c r="F526" s="21"/>
      <c r="L526" s="21"/>
    </row>
    <row r="527" spans="2:12" x14ac:dyDescent="0.25">
      <c r="B527" s="20"/>
      <c r="C527" s="21"/>
      <c r="D527" s="21"/>
      <c r="E527" s="21"/>
      <c r="F527" s="21"/>
      <c r="L527" s="21"/>
    </row>
    <row r="528" spans="2:12" x14ac:dyDescent="0.25">
      <c r="B528" s="20"/>
      <c r="C528" s="21"/>
      <c r="D528" s="21"/>
      <c r="E528" s="21"/>
      <c r="F528" s="21"/>
      <c r="L528" s="21"/>
    </row>
    <row r="529" spans="2:12" x14ac:dyDescent="0.25">
      <c r="B529" s="20"/>
      <c r="C529" s="21"/>
      <c r="D529" s="21"/>
      <c r="E529" s="21"/>
      <c r="F529" s="21"/>
      <c r="L529" s="21"/>
    </row>
    <row r="530" spans="2:12" x14ac:dyDescent="0.25">
      <c r="B530" s="20"/>
      <c r="C530" s="21"/>
      <c r="D530" s="21"/>
      <c r="E530" s="21"/>
      <c r="F530" s="21"/>
      <c r="L530" s="21"/>
    </row>
    <row r="531" spans="2:12" x14ac:dyDescent="0.25">
      <c r="B531" s="20"/>
      <c r="C531" s="21"/>
      <c r="D531" s="21"/>
      <c r="E531" s="21"/>
      <c r="F531" s="21"/>
      <c r="L531" s="21"/>
    </row>
    <row r="532" spans="2:12" x14ac:dyDescent="0.25">
      <c r="B532" s="20"/>
      <c r="C532" s="21"/>
      <c r="D532" s="21"/>
      <c r="E532" s="21"/>
      <c r="F532" s="21"/>
      <c r="L532" s="21"/>
    </row>
    <row r="533" spans="2:12" x14ac:dyDescent="0.25">
      <c r="B533" s="20"/>
      <c r="C533" s="21"/>
      <c r="D533" s="21"/>
      <c r="E533" s="21"/>
      <c r="F533" s="21"/>
      <c r="L533" s="21"/>
    </row>
    <row r="534" spans="2:12" x14ac:dyDescent="0.25">
      <c r="B534" s="20"/>
      <c r="C534" s="21"/>
      <c r="D534" s="21"/>
      <c r="E534" s="21"/>
      <c r="F534" s="21"/>
      <c r="L534" s="21"/>
    </row>
    <row r="535" spans="2:12" x14ac:dyDescent="0.25">
      <c r="B535" s="20"/>
      <c r="C535" s="21"/>
      <c r="D535" s="21"/>
      <c r="E535" s="21"/>
      <c r="F535" s="21"/>
      <c r="L535" s="21"/>
    </row>
    <row r="536" spans="2:12" x14ac:dyDescent="0.25">
      <c r="B536" s="20"/>
      <c r="C536" s="21"/>
      <c r="D536" s="21"/>
      <c r="E536" s="21"/>
      <c r="F536" s="21"/>
      <c r="L536" s="21"/>
    </row>
    <row r="537" spans="2:12" x14ac:dyDescent="0.25">
      <c r="B537" s="20"/>
      <c r="C537" s="21"/>
      <c r="D537" s="21"/>
      <c r="E537" s="21"/>
      <c r="F537" s="21"/>
      <c r="L537" s="21"/>
    </row>
    <row r="538" spans="2:12" x14ac:dyDescent="0.25">
      <c r="B538" s="20"/>
      <c r="C538" s="21"/>
      <c r="D538" s="21"/>
      <c r="E538" s="21"/>
      <c r="F538" s="21"/>
      <c r="L538" s="21"/>
    </row>
    <row r="539" spans="2:12" x14ac:dyDescent="0.25">
      <c r="B539" s="20"/>
      <c r="C539" s="21"/>
      <c r="D539" s="21"/>
      <c r="E539" s="21"/>
      <c r="F539" s="21"/>
      <c r="L539" s="21"/>
    </row>
    <row r="540" spans="2:12" x14ac:dyDescent="0.25">
      <c r="B540" s="20"/>
      <c r="C540" s="21"/>
      <c r="D540" s="21"/>
      <c r="E540" s="21"/>
      <c r="F540" s="21"/>
      <c r="L540" s="21"/>
    </row>
    <row r="541" spans="2:12" x14ac:dyDescent="0.25">
      <c r="B541" s="20"/>
      <c r="C541" s="21"/>
      <c r="D541" s="21"/>
      <c r="E541" s="21"/>
      <c r="F541" s="21"/>
      <c r="L541" s="21"/>
    </row>
    <row r="542" spans="2:12" x14ac:dyDescent="0.25">
      <c r="B542" s="20"/>
      <c r="C542" s="21"/>
      <c r="D542" s="21"/>
      <c r="E542" s="21"/>
      <c r="F542" s="21"/>
      <c r="L542" s="21"/>
    </row>
    <row r="543" spans="2:12" x14ac:dyDescent="0.25">
      <c r="B543" s="20"/>
      <c r="C543" s="21"/>
      <c r="D543" s="21"/>
      <c r="E543" s="21"/>
      <c r="F543" s="21"/>
      <c r="L543" s="21"/>
    </row>
    <row r="544" spans="2:12" x14ac:dyDescent="0.25">
      <c r="B544" s="20"/>
      <c r="C544" s="21"/>
      <c r="D544" s="21"/>
      <c r="E544" s="21"/>
      <c r="F544" s="21"/>
      <c r="L544" s="21"/>
    </row>
    <row r="545" spans="2:12" x14ac:dyDescent="0.25">
      <c r="B545" s="20"/>
      <c r="C545" s="21"/>
      <c r="D545" s="21"/>
      <c r="E545" s="21"/>
      <c r="F545" s="21"/>
      <c r="L545" s="21"/>
    </row>
    <row r="546" spans="2:12" x14ac:dyDescent="0.25">
      <c r="B546" s="20"/>
      <c r="C546" s="21"/>
      <c r="D546" s="21"/>
      <c r="E546" s="21"/>
      <c r="F546" s="21"/>
      <c r="L546" s="21"/>
    </row>
    <row r="547" spans="2:12" x14ac:dyDescent="0.25">
      <c r="B547" s="20"/>
      <c r="C547" s="21"/>
      <c r="D547" s="21"/>
      <c r="E547" s="21"/>
      <c r="F547" s="21"/>
      <c r="L547" s="21"/>
    </row>
    <row r="548" spans="2:12" x14ac:dyDescent="0.25">
      <c r="B548" s="20"/>
      <c r="C548" s="21"/>
      <c r="D548" s="21"/>
      <c r="E548" s="21"/>
      <c r="F548" s="21"/>
      <c r="L548" s="21"/>
    </row>
    <row r="549" spans="2:12" x14ac:dyDescent="0.25">
      <c r="B549" s="20"/>
      <c r="C549" s="21"/>
      <c r="D549" s="21"/>
      <c r="E549" s="21"/>
      <c r="F549" s="21"/>
      <c r="L549" s="21"/>
    </row>
    <row r="550" spans="2:12" x14ac:dyDescent="0.25">
      <c r="B550" s="20"/>
      <c r="C550" s="21"/>
      <c r="D550" s="21"/>
      <c r="E550" s="21"/>
      <c r="F550" s="21"/>
      <c r="L550" s="21"/>
    </row>
    <row r="551" spans="2:12" x14ac:dyDescent="0.25">
      <c r="B551" s="20"/>
      <c r="C551" s="21"/>
      <c r="D551" s="21"/>
      <c r="E551" s="21"/>
      <c r="F551" s="21"/>
      <c r="L551" s="21"/>
    </row>
    <row r="552" spans="2:12" x14ac:dyDescent="0.25">
      <c r="B552" s="20"/>
      <c r="C552" s="21"/>
      <c r="D552" s="21"/>
      <c r="E552" s="21"/>
      <c r="F552" s="21"/>
      <c r="L552" s="21"/>
    </row>
    <row r="553" spans="2:12" x14ac:dyDescent="0.25">
      <c r="B553" s="20"/>
      <c r="C553" s="21"/>
      <c r="D553" s="21"/>
      <c r="E553" s="21"/>
      <c r="F553" s="21"/>
      <c r="L553" s="21"/>
    </row>
    <row r="554" spans="2:12" x14ac:dyDescent="0.25">
      <c r="B554" s="20"/>
      <c r="C554" s="21"/>
      <c r="D554" s="21"/>
      <c r="E554" s="21"/>
      <c r="F554" s="21"/>
      <c r="L554" s="21"/>
    </row>
    <row r="555" spans="2:12" x14ac:dyDescent="0.25">
      <c r="B555" s="20"/>
      <c r="C555" s="21"/>
      <c r="D555" s="21"/>
      <c r="E555" s="21"/>
      <c r="F555" s="21"/>
      <c r="L555" s="21"/>
    </row>
    <row r="556" spans="2:12" x14ac:dyDescent="0.25">
      <c r="B556" s="20"/>
      <c r="C556" s="21"/>
      <c r="D556" s="21"/>
      <c r="E556" s="21"/>
      <c r="F556" s="21"/>
      <c r="L556" s="21"/>
    </row>
    <row r="557" spans="2:12" x14ac:dyDescent="0.25">
      <c r="B557" s="20"/>
      <c r="C557" s="21"/>
      <c r="D557" s="21"/>
      <c r="E557" s="21"/>
      <c r="F557" s="21"/>
      <c r="L557" s="21"/>
    </row>
    <row r="558" spans="2:12" x14ac:dyDescent="0.25">
      <c r="B558" s="20"/>
      <c r="C558" s="21"/>
      <c r="D558" s="21"/>
      <c r="E558" s="21"/>
      <c r="F558" s="21"/>
      <c r="L558" s="21"/>
    </row>
    <row r="559" spans="2:12" x14ac:dyDescent="0.25">
      <c r="B559" s="20"/>
      <c r="C559" s="21"/>
      <c r="D559" s="21"/>
      <c r="E559" s="21"/>
      <c r="F559" s="21"/>
      <c r="L559" s="21"/>
    </row>
    <row r="560" spans="2:12" x14ac:dyDescent="0.25">
      <c r="B560" s="20"/>
      <c r="C560" s="21"/>
      <c r="D560" s="21"/>
      <c r="E560" s="21"/>
      <c r="F560" s="21"/>
      <c r="L560" s="21"/>
    </row>
    <row r="561" spans="2:12" x14ac:dyDescent="0.25">
      <c r="B561" s="20"/>
      <c r="C561" s="21"/>
      <c r="D561" s="21"/>
      <c r="E561" s="21"/>
      <c r="F561" s="21"/>
      <c r="L561" s="21"/>
    </row>
    <row r="562" spans="2:12" x14ac:dyDescent="0.25">
      <c r="B562" s="20"/>
      <c r="C562" s="21"/>
      <c r="D562" s="21"/>
      <c r="E562" s="21"/>
      <c r="F562" s="21"/>
      <c r="L562" s="21"/>
    </row>
    <row r="563" spans="2:12" x14ac:dyDescent="0.25">
      <c r="B563" s="20"/>
      <c r="C563" s="21"/>
      <c r="D563" s="21"/>
      <c r="E563" s="21"/>
      <c r="F563" s="21"/>
      <c r="L563" s="21"/>
    </row>
    <row r="564" spans="2:12" x14ac:dyDescent="0.25">
      <c r="B564" s="20"/>
      <c r="C564" s="21"/>
      <c r="D564" s="21"/>
      <c r="E564" s="21"/>
      <c r="F564" s="21"/>
      <c r="L564" s="21"/>
    </row>
    <row r="565" spans="2:12" x14ac:dyDescent="0.25">
      <c r="B565" s="20"/>
      <c r="C565" s="21"/>
      <c r="D565" s="21"/>
      <c r="E565" s="21"/>
      <c r="F565" s="21"/>
      <c r="L565" s="21"/>
    </row>
    <row r="566" spans="2:12" x14ac:dyDescent="0.25">
      <c r="B566" s="20"/>
      <c r="C566" s="21"/>
      <c r="D566" s="21"/>
      <c r="E566" s="21"/>
      <c r="F566" s="21"/>
      <c r="L566" s="21"/>
    </row>
    <row r="567" spans="2:12" x14ac:dyDescent="0.25">
      <c r="B567" s="20"/>
      <c r="C567" s="21"/>
      <c r="D567" s="21"/>
      <c r="E567" s="21"/>
      <c r="F567" s="21"/>
      <c r="L567" s="21"/>
    </row>
    <row r="568" spans="2:12" x14ac:dyDescent="0.25">
      <c r="B568" s="20"/>
      <c r="C568" s="21"/>
      <c r="D568" s="21"/>
      <c r="E568" s="21"/>
      <c r="F568" s="21"/>
      <c r="L568" s="21"/>
    </row>
    <row r="569" spans="2:12" x14ac:dyDescent="0.25">
      <c r="B569" s="20"/>
      <c r="C569" s="21"/>
      <c r="D569" s="21"/>
      <c r="E569" s="21"/>
      <c r="F569" s="21"/>
      <c r="L569" s="21"/>
    </row>
    <row r="570" spans="2:12" x14ac:dyDescent="0.25">
      <c r="B570" s="20"/>
      <c r="C570" s="21"/>
      <c r="D570" s="21"/>
      <c r="E570" s="21"/>
      <c r="F570" s="21"/>
      <c r="L570" s="21"/>
    </row>
    <row r="571" spans="2:12" x14ac:dyDescent="0.25">
      <c r="B571" s="20"/>
      <c r="C571" s="21"/>
      <c r="D571" s="21"/>
      <c r="E571" s="21"/>
      <c r="F571" s="21"/>
      <c r="L571" s="21"/>
    </row>
    <row r="572" spans="2:12" x14ac:dyDescent="0.25">
      <c r="B572" s="20"/>
      <c r="C572" s="21"/>
      <c r="D572" s="21"/>
      <c r="E572" s="21"/>
      <c r="F572" s="21"/>
      <c r="L572" s="21"/>
    </row>
    <row r="573" spans="2:12" x14ac:dyDescent="0.25">
      <c r="B573" s="20"/>
      <c r="C573" s="21"/>
      <c r="D573" s="21"/>
      <c r="E573" s="21"/>
      <c r="F573" s="21"/>
      <c r="L573" s="21"/>
    </row>
    <row r="574" spans="2:12" x14ac:dyDescent="0.25">
      <c r="B574" s="20"/>
      <c r="C574" s="21"/>
      <c r="D574" s="21"/>
      <c r="E574" s="21"/>
      <c r="F574" s="21"/>
      <c r="L574" s="21"/>
    </row>
    <row r="575" spans="2:12" x14ac:dyDescent="0.25">
      <c r="B575" s="20"/>
      <c r="C575" s="21"/>
      <c r="D575" s="21"/>
      <c r="E575" s="21"/>
      <c r="F575" s="21"/>
      <c r="L575" s="21"/>
    </row>
    <row r="576" spans="2:12" x14ac:dyDescent="0.25">
      <c r="B576" s="20"/>
      <c r="C576" s="21"/>
      <c r="D576" s="21"/>
      <c r="E576" s="21"/>
      <c r="F576" s="21"/>
      <c r="L576" s="21"/>
    </row>
    <row r="577" spans="2:12" x14ac:dyDescent="0.25">
      <c r="B577" s="20"/>
      <c r="C577" s="21"/>
      <c r="D577" s="21"/>
      <c r="E577" s="21"/>
      <c r="F577" s="21"/>
      <c r="L577" s="21"/>
    </row>
    <row r="578" spans="2:12" x14ac:dyDescent="0.25">
      <c r="B578" s="20"/>
      <c r="C578" s="21"/>
      <c r="D578" s="21"/>
      <c r="E578" s="21"/>
      <c r="F578" s="21"/>
      <c r="L578" s="21"/>
    </row>
    <row r="579" spans="2:12" x14ac:dyDescent="0.25">
      <c r="B579" s="20"/>
      <c r="C579" s="21"/>
      <c r="D579" s="21"/>
      <c r="E579" s="21"/>
      <c r="F579" s="21"/>
      <c r="L579" s="21"/>
    </row>
    <row r="580" spans="2:12" x14ac:dyDescent="0.25">
      <c r="B580" s="20"/>
      <c r="C580" s="21"/>
      <c r="D580" s="21"/>
      <c r="E580" s="21"/>
      <c r="F580" s="21"/>
      <c r="L580" s="21"/>
    </row>
    <row r="581" spans="2:12" x14ac:dyDescent="0.25">
      <c r="B581" s="20"/>
      <c r="C581" s="21"/>
      <c r="D581" s="21"/>
      <c r="E581" s="21"/>
      <c r="F581" s="21"/>
      <c r="L581" s="21"/>
    </row>
    <row r="582" spans="2:12" x14ac:dyDescent="0.25">
      <c r="B582" s="20"/>
      <c r="C582" s="21"/>
      <c r="D582" s="21"/>
      <c r="E582" s="21"/>
      <c r="F582" s="21"/>
      <c r="L582" s="21"/>
    </row>
    <row r="583" spans="2:12" x14ac:dyDescent="0.25">
      <c r="B583" s="20"/>
      <c r="C583" s="21"/>
      <c r="D583" s="21"/>
      <c r="E583" s="21"/>
      <c r="F583" s="21"/>
      <c r="L583" s="21"/>
    </row>
    <row r="584" spans="2:12" x14ac:dyDescent="0.25">
      <c r="B584" s="20"/>
      <c r="C584" s="21"/>
      <c r="D584" s="21"/>
      <c r="E584" s="21"/>
      <c r="F584" s="21"/>
      <c r="L584" s="21"/>
    </row>
    <row r="585" spans="2:12" x14ac:dyDescent="0.25">
      <c r="B585" s="20"/>
      <c r="C585" s="21"/>
      <c r="D585" s="21"/>
      <c r="E585" s="21"/>
      <c r="F585" s="21"/>
      <c r="L585" s="21"/>
    </row>
    <row r="586" spans="2:12" x14ac:dyDescent="0.25">
      <c r="B586" s="20"/>
      <c r="C586" s="21"/>
      <c r="D586" s="21"/>
      <c r="E586" s="21"/>
      <c r="F586" s="21"/>
      <c r="L586" s="21"/>
    </row>
    <row r="587" spans="2:12" x14ac:dyDescent="0.25">
      <c r="B587" s="20"/>
      <c r="C587" s="21"/>
      <c r="D587" s="21"/>
      <c r="E587" s="21"/>
      <c r="F587" s="21"/>
      <c r="L587" s="21"/>
    </row>
    <row r="588" spans="2:12" x14ac:dyDescent="0.25">
      <c r="B588" s="20"/>
      <c r="C588" s="21"/>
      <c r="D588" s="21"/>
      <c r="E588" s="21"/>
      <c r="F588" s="21"/>
      <c r="L588" s="21"/>
    </row>
    <row r="589" spans="2:12" x14ac:dyDescent="0.25">
      <c r="B589" s="20"/>
      <c r="C589" s="21"/>
      <c r="D589" s="21"/>
      <c r="E589" s="21"/>
      <c r="F589" s="21"/>
      <c r="L589" s="21"/>
    </row>
    <row r="590" spans="2:12" x14ac:dyDescent="0.25">
      <c r="B590" s="20"/>
      <c r="C590" s="21"/>
      <c r="D590" s="21"/>
      <c r="E590" s="21"/>
      <c r="F590" s="21"/>
      <c r="L590" s="21"/>
    </row>
    <row r="591" spans="2:12" x14ac:dyDescent="0.25">
      <c r="B591" s="20"/>
      <c r="C591" s="21"/>
      <c r="D591" s="21"/>
      <c r="E591" s="21"/>
      <c r="F591" s="21"/>
      <c r="L591" s="21"/>
    </row>
    <row r="592" spans="2:12" x14ac:dyDescent="0.25">
      <c r="B592" s="20"/>
      <c r="C592" s="21"/>
      <c r="D592" s="21"/>
      <c r="E592" s="21"/>
      <c r="F592" s="21"/>
      <c r="L592" s="21"/>
    </row>
    <row r="593" spans="2:12" x14ac:dyDescent="0.25">
      <c r="B593" s="20"/>
      <c r="C593" s="21"/>
      <c r="D593" s="21"/>
      <c r="E593" s="21"/>
      <c r="F593" s="21"/>
      <c r="L593" s="21"/>
    </row>
    <row r="594" spans="2:12" x14ac:dyDescent="0.25">
      <c r="B594" s="20"/>
      <c r="C594" s="21"/>
      <c r="D594" s="21"/>
      <c r="E594" s="21"/>
      <c r="F594" s="21"/>
      <c r="L594" s="21"/>
    </row>
    <row r="595" spans="2:12" x14ac:dyDescent="0.25">
      <c r="B595" s="20"/>
      <c r="C595" s="21"/>
      <c r="D595" s="21"/>
      <c r="E595" s="21"/>
      <c r="F595" s="21"/>
      <c r="L595" s="21"/>
    </row>
    <row r="596" spans="2:12" x14ac:dyDescent="0.25">
      <c r="B596" s="20"/>
      <c r="C596" s="21"/>
      <c r="D596" s="21"/>
      <c r="E596" s="21"/>
      <c r="F596" s="21"/>
      <c r="L596" s="21"/>
    </row>
    <row r="597" spans="2:12" x14ac:dyDescent="0.25">
      <c r="B597" s="20"/>
      <c r="C597" s="21"/>
      <c r="D597" s="21"/>
      <c r="E597" s="21"/>
      <c r="F597" s="21"/>
      <c r="L597" s="21"/>
    </row>
    <row r="598" spans="2:12" x14ac:dyDescent="0.25">
      <c r="B598" s="20"/>
      <c r="C598" s="21"/>
      <c r="D598" s="21"/>
      <c r="E598" s="21"/>
      <c r="F598" s="21"/>
      <c r="L598" s="21"/>
    </row>
    <row r="599" spans="2:12" x14ac:dyDescent="0.25">
      <c r="B599" s="20"/>
      <c r="C599" s="21"/>
      <c r="D599" s="21"/>
      <c r="E599" s="21"/>
      <c r="F599" s="21"/>
      <c r="L599" s="21"/>
    </row>
    <row r="600" spans="2:12" x14ac:dyDescent="0.25">
      <c r="B600" s="20"/>
      <c r="C600" s="21"/>
      <c r="D600" s="21"/>
      <c r="E600" s="21"/>
      <c r="F600" s="21"/>
      <c r="L600" s="21"/>
    </row>
    <row r="601" spans="2:12" x14ac:dyDescent="0.25">
      <c r="B601" s="20"/>
      <c r="C601" s="21"/>
      <c r="D601" s="21"/>
      <c r="E601" s="21"/>
      <c r="F601" s="21"/>
      <c r="L601" s="21"/>
    </row>
    <row r="602" spans="2:12" x14ac:dyDescent="0.25">
      <c r="B602" s="20"/>
      <c r="C602" s="21"/>
      <c r="D602" s="21"/>
      <c r="E602" s="21"/>
      <c r="F602" s="21"/>
      <c r="L602" s="21"/>
    </row>
    <row r="603" spans="2:12" x14ac:dyDescent="0.25">
      <c r="B603" s="20"/>
      <c r="C603" s="21"/>
      <c r="D603" s="21"/>
      <c r="E603" s="21"/>
      <c r="F603" s="21"/>
      <c r="L603" s="21"/>
    </row>
    <row r="604" spans="2:12" x14ac:dyDescent="0.25">
      <c r="B604" s="20"/>
      <c r="C604" s="21"/>
      <c r="D604" s="21"/>
      <c r="E604" s="21"/>
      <c r="F604" s="21"/>
      <c r="L604" s="21"/>
    </row>
    <row r="605" spans="2:12" x14ac:dyDescent="0.25">
      <c r="B605" s="20"/>
      <c r="C605" s="21"/>
      <c r="D605" s="21"/>
      <c r="E605" s="21"/>
      <c r="F605" s="21"/>
      <c r="L605" s="21"/>
    </row>
    <row r="606" spans="2:12" x14ac:dyDescent="0.25">
      <c r="B606" s="20"/>
      <c r="C606" s="21"/>
      <c r="D606" s="21"/>
      <c r="E606" s="21"/>
      <c r="F606" s="21"/>
      <c r="L606" s="21"/>
    </row>
    <row r="607" spans="2:12" x14ac:dyDescent="0.25">
      <c r="B607" s="20"/>
      <c r="C607" s="21"/>
      <c r="D607" s="21"/>
      <c r="E607" s="21"/>
      <c r="F607" s="21"/>
      <c r="L607" s="21"/>
    </row>
    <row r="608" spans="2:12" x14ac:dyDescent="0.25">
      <c r="B608" s="20"/>
      <c r="C608" s="21"/>
      <c r="D608" s="21"/>
      <c r="E608" s="21"/>
      <c r="F608" s="21"/>
      <c r="L608" s="21"/>
    </row>
    <row r="609" spans="2:12" x14ac:dyDescent="0.25">
      <c r="B609" s="20"/>
      <c r="C609" s="21"/>
      <c r="D609" s="21"/>
      <c r="E609" s="21"/>
      <c r="F609" s="21"/>
      <c r="L609" s="21"/>
    </row>
    <row r="610" spans="2:12" x14ac:dyDescent="0.25">
      <c r="B610" s="20"/>
      <c r="C610" s="21"/>
      <c r="D610" s="21"/>
      <c r="E610" s="21"/>
      <c r="F610" s="21"/>
      <c r="L610" s="21"/>
    </row>
    <row r="611" spans="2:12" x14ac:dyDescent="0.25">
      <c r="B611" s="20"/>
      <c r="C611" s="21"/>
      <c r="D611" s="21"/>
      <c r="E611" s="21"/>
      <c r="F611" s="21"/>
      <c r="L611" s="21"/>
    </row>
    <row r="612" spans="2:12" x14ac:dyDescent="0.25">
      <c r="B612" s="20"/>
      <c r="C612" s="21"/>
      <c r="D612" s="21"/>
      <c r="E612" s="21"/>
      <c r="F612" s="21"/>
      <c r="L612" s="21"/>
    </row>
    <row r="613" spans="2:12" x14ac:dyDescent="0.25">
      <c r="B613" s="20"/>
      <c r="C613" s="21"/>
      <c r="D613" s="21"/>
      <c r="E613" s="21"/>
      <c r="F613" s="21"/>
      <c r="L613" s="21"/>
    </row>
    <row r="614" spans="2:12" x14ac:dyDescent="0.25">
      <c r="B614" s="20"/>
      <c r="C614" s="21"/>
      <c r="D614" s="21"/>
      <c r="E614" s="21"/>
      <c r="F614" s="21"/>
      <c r="L614" s="21"/>
    </row>
    <row r="615" spans="2:12" x14ac:dyDescent="0.25">
      <c r="B615" s="20"/>
      <c r="C615" s="21"/>
      <c r="D615" s="21"/>
      <c r="E615" s="21"/>
      <c r="F615" s="21"/>
      <c r="L615" s="21"/>
    </row>
    <row r="616" spans="2:12" x14ac:dyDescent="0.25">
      <c r="B616" s="20"/>
      <c r="C616" s="21"/>
      <c r="D616" s="21"/>
      <c r="E616" s="21"/>
      <c r="F616" s="21"/>
      <c r="L616" s="21"/>
    </row>
    <row r="617" spans="2:12" x14ac:dyDescent="0.25">
      <c r="B617" s="20"/>
      <c r="C617" s="21"/>
      <c r="D617" s="21"/>
      <c r="E617" s="21"/>
      <c r="F617" s="21"/>
      <c r="L617" s="21"/>
    </row>
    <row r="618" spans="2:12" x14ac:dyDescent="0.25">
      <c r="B618" s="20"/>
      <c r="C618" s="21"/>
      <c r="D618" s="21"/>
      <c r="E618" s="21"/>
      <c r="F618" s="21"/>
      <c r="L618" s="21"/>
    </row>
    <row r="619" spans="2:12" x14ac:dyDescent="0.25">
      <c r="B619" s="20"/>
      <c r="C619" s="21"/>
      <c r="D619" s="21"/>
      <c r="E619" s="21"/>
      <c r="F619" s="21"/>
      <c r="L619" s="21"/>
    </row>
    <row r="620" spans="2:12" x14ac:dyDescent="0.25">
      <c r="B620" s="20"/>
      <c r="C620" s="21"/>
      <c r="D620" s="21"/>
      <c r="E620" s="21"/>
      <c r="F620" s="21"/>
      <c r="L620" s="21"/>
    </row>
    <row r="621" spans="2:12" x14ac:dyDescent="0.25">
      <c r="B621" s="20"/>
      <c r="C621" s="21"/>
      <c r="D621" s="21"/>
      <c r="E621" s="21"/>
      <c r="F621" s="21"/>
      <c r="L621" s="21"/>
    </row>
    <row r="622" spans="2:12" x14ac:dyDescent="0.25">
      <c r="B622" s="20"/>
      <c r="C622" s="21"/>
      <c r="D622" s="21"/>
      <c r="E622" s="21"/>
      <c r="F622" s="21"/>
      <c r="L622" s="21"/>
    </row>
    <row r="623" spans="2:12" x14ac:dyDescent="0.25">
      <c r="B623" s="20"/>
      <c r="C623" s="21"/>
      <c r="D623" s="21"/>
      <c r="E623" s="21"/>
      <c r="F623" s="21"/>
      <c r="L623" s="21"/>
    </row>
    <row r="624" spans="2:12" x14ac:dyDescent="0.25">
      <c r="B624" s="20"/>
      <c r="C624" s="21"/>
      <c r="D624" s="21"/>
      <c r="E624" s="21"/>
      <c r="F624" s="21"/>
      <c r="L624" s="21"/>
    </row>
    <row r="625" spans="2:12" x14ac:dyDescent="0.25">
      <c r="B625" s="20"/>
      <c r="C625" s="21"/>
      <c r="D625" s="21"/>
      <c r="E625" s="21"/>
      <c r="F625" s="21"/>
      <c r="L625" s="21"/>
    </row>
    <row r="626" spans="2:12" x14ac:dyDescent="0.25">
      <c r="B626" s="20"/>
      <c r="C626" s="21"/>
      <c r="D626" s="21"/>
      <c r="E626" s="21"/>
      <c r="F626" s="21"/>
      <c r="L626" s="21"/>
    </row>
    <row r="627" spans="2:12" x14ac:dyDescent="0.25">
      <c r="B627" s="20"/>
      <c r="C627" s="21"/>
      <c r="D627" s="21"/>
      <c r="E627" s="21"/>
      <c r="F627" s="21"/>
      <c r="L627" s="21"/>
    </row>
    <row r="628" spans="2:12" x14ac:dyDescent="0.25">
      <c r="B628" s="20"/>
      <c r="C628" s="21"/>
      <c r="D628" s="21"/>
      <c r="E628" s="21"/>
      <c r="F628" s="21"/>
      <c r="L628" s="21"/>
    </row>
    <row r="629" spans="2:12" x14ac:dyDescent="0.25">
      <c r="B629" s="20"/>
      <c r="C629" s="21"/>
      <c r="D629" s="21"/>
      <c r="E629" s="21"/>
      <c r="F629" s="21"/>
      <c r="L629" s="21"/>
    </row>
    <row r="630" spans="2:12" x14ac:dyDescent="0.25">
      <c r="B630" s="20"/>
      <c r="C630" s="21"/>
      <c r="D630" s="21"/>
      <c r="E630" s="21"/>
      <c r="F630" s="21"/>
      <c r="L630" s="21"/>
    </row>
    <row r="631" spans="2:12" x14ac:dyDescent="0.25">
      <c r="B631" s="20"/>
      <c r="C631" s="21"/>
      <c r="D631" s="21"/>
      <c r="E631" s="21"/>
      <c r="F631" s="21"/>
      <c r="L631" s="21"/>
    </row>
    <row r="632" spans="2:12" x14ac:dyDescent="0.25">
      <c r="B632" s="20"/>
      <c r="C632" s="21"/>
      <c r="D632" s="21"/>
      <c r="E632" s="21"/>
      <c r="F632" s="21"/>
      <c r="L632" s="21"/>
    </row>
    <row r="633" spans="2:12" x14ac:dyDescent="0.25">
      <c r="B633" s="20"/>
      <c r="C633" s="21"/>
      <c r="D633" s="21"/>
      <c r="E633" s="21"/>
      <c r="F633" s="21"/>
      <c r="L633" s="21"/>
    </row>
    <row r="634" spans="2:12" x14ac:dyDescent="0.25">
      <c r="B634" s="20"/>
      <c r="C634" s="21"/>
      <c r="D634" s="21"/>
      <c r="E634" s="21"/>
      <c r="F634" s="21"/>
      <c r="L634" s="21"/>
    </row>
    <row r="635" spans="2:12" x14ac:dyDescent="0.25">
      <c r="B635" s="20"/>
      <c r="C635" s="21"/>
      <c r="D635" s="21"/>
      <c r="E635" s="21"/>
      <c r="F635" s="21"/>
      <c r="L635" s="21"/>
    </row>
    <row r="636" spans="2:12" x14ac:dyDescent="0.25">
      <c r="B636" s="20"/>
      <c r="C636" s="21"/>
      <c r="D636" s="21"/>
      <c r="E636" s="21"/>
      <c r="F636" s="21"/>
      <c r="L636" s="21"/>
    </row>
    <row r="637" spans="2:12" x14ac:dyDescent="0.25">
      <c r="B637" s="20"/>
      <c r="C637" s="21"/>
      <c r="D637" s="21"/>
      <c r="E637" s="21"/>
      <c r="F637" s="21"/>
      <c r="L637" s="21"/>
    </row>
    <row r="638" spans="2:12" x14ac:dyDescent="0.25">
      <c r="B638" s="20"/>
      <c r="C638" s="21"/>
      <c r="D638" s="21"/>
      <c r="E638" s="21"/>
      <c r="F638" s="21"/>
      <c r="L638" s="21"/>
    </row>
    <row r="639" spans="2:12" x14ac:dyDescent="0.25">
      <c r="B639" s="20"/>
      <c r="C639" s="21"/>
      <c r="D639" s="21"/>
      <c r="E639" s="21"/>
      <c r="F639" s="21"/>
      <c r="L639" s="21"/>
    </row>
    <row r="640" spans="2:12" x14ac:dyDescent="0.25">
      <c r="B640" s="20"/>
      <c r="C640" s="21"/>
      <c r="D640" s="21"/>
      <c r="E640" s="21"/>
      <c r="F640" s="21"/>
      <c r="L640" s="21"/>
    </row>
    <row r="641" spans="2:12" x14ac:dyDescent="0.25">
      <c r="B641" s="20"/>
      <c r="C641" s="21"/>
      <c r="D641" s="21"/>
      <c r="E641" s="21"/>
      <c r="F641" s="21"/>
      <c r="L641" s="21"/>
    </row>
    <row r="642" spans="2:12" x14ac:dyDescent="0.25">
      <c r="B642" s="20"/>
      <c r="C642" s="21"/>
      <c r="D642" s="21"/>
      <c r="E642" s="21"/>
      <c r="F642" s="21"/>
      <c r="L642" s="21"/>
    </row>
    <row r="643" spans="2:12" x14ac:dyDescent="0.25">
      <c r="B643" s="20"/>
      <c r="C643" s="21"/>
      <c r="D643" s="21"/>
      <c r="E643" s="21"/>
      <c r="F643" s="21"/>
      <c r="L643" s="21"/>
    </row>
    <row r="644" spans="2:12" x14ac:dyDescent="0.25">
      <c r="B644" s="20"/>
      <c r="C644" s="21"/>
      <c r="D644" s="21"/>
      <c r="E644" s="21"/>
      <c r="F644" s="21"/>
      <c r="L644" s="21"/>
    </row>
    <row r="645" spans="2:12" x14ac:dyDescent="0.25">
      <c r="B645" s="20"/>
      <c r="C645" s="21"/>
      <c r="D645" s="21"/>
      <c r="E645" s="21"/>
      <c r="F645" s="21"/>
      <c r="L645" s="21"/>
    </row>
    <row r="646" spans="2:12" x14ac:dyDescent="0.25">
      <c r="B646" s="20"/>
      <c r="C646" s="21"/>
      <c r="D646" s="21"/>
      <c r="E646" s="21"/>
      <c r="F646" s="21"/>
      <c r="L646" s="21"/>
    </row>
    <row r="647" spans="2:12" x14ac:dyDescent="0.25">
      <c r="B647" s="20"/>
      <c r="C647" s="21"/>
      <c r="D647" s="21"/>
      <c r="E647" s="21"/>
      <c r="F647" s="21"/>
      <c r="L647" s="21"/>
    </row>
    <row r="648" spans="2:12" x14ac:dyDescent="0.25">
      <c r="B648" s="20"/>
      <c r="C648" s="21"/>
      <c r="D648" s="21"/>
      <c r="E648" s="21"/>
      <c r="F648" s="21"/>
      <c r="L648" s="21"/>
    </row>
    <row r="649" spans="2:12" x14ac:dyDescent="0.25">
      <c r="B649" s="20"/>
      <c r="C649" s="21"/>
      <c r="D649" s="21"/>
      <c r="E649" s="21"/>
      <c r="F649" s="21"/>
      <c r="L649" s="21"/>
    </row>
    <row r="650" spans="2:12" x14ac:dyDescent="0.25">
      <c r="B650" s="20"/>
      <c r="C650" s="21"/>
      <c r="D650" s="21"/>
      <c r="E650" s="21"/>
      <c r="F650" s="21"/>
      <c r="L650" s="21"/>
    </row>
    <row r="651" spans="2:12" x14ac:dyDescent="0.25">
      <c r="B651" s="20"/>
      <c r="C651" s="21"/>
      <c r="D651" s="21"/>
      <c r="E651" s="21"/>
      <c r="F651" s="21"/>
      <c r="L651" s="21"/>
    </row>
    <row r="652" spans="2:12" x14ac:dyDescent="0.25">
      <c r="B652" s="20"/>
      <c r="C652" s="21"/>
      <c r="D652" s="21"/>
      <c r="E652" s="21"/>
      <c r="F652" s="21"/>
      <c r="L652" s="21"/>
    </row>
    <row r="653" spans="2:12" x14ac:dyDescent="0.25">
      <c r="B653" s="20"/>
      <c r="C653" s="21"/>
      <c r="D653" s="21"/>
      <c r="E653" s="21"/>
      <c r="F653" s="21"/>
      <c r="L653" s="21"/>
    </row>
    <row r="654" spans="2:12" x14ac:dyDescent="0.25">
      <c r="B654" s="20"/>
      <c r="C654" s="21"/>
      <c r="D654" s="21"/>
      <c r="E654" s="21"/>
      <c r="F654" s="21"/>
      <c r="L654" s="21"/>
    </row>
    <row r="655" spans="2:12" x14ac:dyDescent="0.25">
      <c r="B655" s="20"/>
      <c r="C655" s="21"/>
      <c r="D655" s="21"/>
      <c r="E655" s="21"/>
      <c r="F655" s="21"/>
      <c r="L655" s="21"/>
    </row>
    <row r="656" spans="2:12" x14ac:dyDescent="0.25">
      <c r="B656" s="20"/>
      <c r="C656" s="21"/>
      <c r="D656" s="21"/>
      <c r="E656" s="21"/>
      <c r="F656" s="21"/>
      <c r="L656" s="21"/>
    </row>
    <row r="657" spans="2:12" x14ac:dyDescent="0.25">
      <c r="B657" s="20"/>
      <c r="C657" s="21"/>
      <c r="D657" s="21"/>
      <c r="E657" s="21"/>
      <c r="F657" s="21"/>
      <c r="L657" s="21"/>
    </row>
    <row r="658" spans="2:12" x14ac:dyDescent="0.25">
      <c r="B658" s="20"/>
      <c r="C658" s="21"/>
      <c r="D658" s="21"/>
      <c r="E658" s="21"/>
      <c r="F658" s="21"/>
      <c r="L658" s="21"/>
    </row>
    <row r="659" spans="2:12" x14ac:dyDescent="0.25">
      <c r="B659" s="20"/>
      <c r="C659" s="21"/>
      <c r="D659" s="21"/>
      <c r="E659" s="21"/>
      <c r="F659" s="21"/>
      <c r="L659" s="21"/>
    </row>
    <row r="660" spans="2:12" x14ac:dyDescent="0.25">
      <c r="B660" s="20"/>
      <c r="C660" s="21"/>
      <c r="D660" s="21"/>
      <c r="E660" s="21"/>
      <c r="F660" s="21"/>
      <c r="L660" s="21"/>
    </row>
    <row r="661" spans="2:12" x14ac:dyDescent="0.25">
      <c r="B661" s="20"/>
      <c r="C661" s="21"/>
      <c r="D661" s="21"/>
      <c r="E661" s="21"/>
      <c r="F661" s="21"/>
      <c r="L661" s="21"/>
    </row>
    <row r="662" spans="2:12" x14ac:dyDescent="0.25">
      <c r="B662" s="20"/>
      <c r="C662" s="21"/>
      <c r="D662" s="21"/>
      <c r="E662" s="21"/>
      <c r="F662" s="21"/>
      <c r="L662" s="21"/>
    </row>
    <row r="663" spans="2:12" x14ac:dyDescent="0.25">
      <c r="B663" s="20"/>
      <c r="C663" s="21"/>
      <c r="D663" s="21"/>
      <c r="E663" s="21"/>
      <c r="F663" s="21"/>
      <c r="L663" s="21"/>
    </row>
    <row r="664" spans="2:12" x14ac:dyDescent="0.25">
      <c r="B664" s="20"/>
      <c r="C664" s="21"/>
      <c r="D664" s="21"/>
      <c r="E664" s="21"/>
      <c r="F664" s="21"/>
      <c r="L664" s="21"/>
    </row>
    <row r="665" spans="2:12" x14ac:dyDescent="0.25">
      <c r="B665" s="20"/>
      <c r="C665" s="21"/>
      <c r="D665" s="21"/>
      <c r="E665" s="21"/>
      <c r="F665" s="21"/>
      <c r="L665" s="21"/>
    </row>
    <row r="666" spans="2:12" x14ac:dyDescent="0.25">
      <c r="B666" s="20"/>
      <c r="C666" s="21"/>
      <c r="D666" s="21"/>
      <c r="E666" s="21"/>
      <c r="F666" s="21"/>
      <c r="L666" s="21"/>
    </row>
    <row r="667" spans="2:12" x14ac:dyDescent="0.25">
      <c r="B667" s="20"/>
      <c r="C667" s="21"/>
      <c r="D667" s="21"/>
      <c r="E667" s="21"/>
      <c r="F667" s="21"/>
      <c r="L667" s="21"/>
    </row>
    <row r="668" spans="2:12" x14ac:dyDescent="0.25">
      <c r="B668" s="20"/>
      <c r="C668" s="21"/>
      <c r="D668" s="21"/>
      <c r="E668" s="21"/>
      <c r="F668" s="21"/>
      <c r="L668" s="21"/>
    </row>
    <row r="669" spans="2:12" x14ac:dyDescent="0.25">
      <c r="B669" s="20"/>
      <c r="C669" s="21"/>
      <c r="D669" s="21"/>
      <c r="E669" s="21"/>
      <c r="F669" s="21"/>
      <c r="L669" s="21"/>
    </row>
    <row r="670" spans="2:12" x14ac:dyDescent="0.25">
      <c r="B670" s="20"/>
      <c r="C670" s="21"/>
      <c r="D670" s="21"/>
      <c r="E670" s="21"/>
      <c r="F670" s="21"/>
      <c r="L670" s="21"/>
    </row>
    <row r="671" spans="2:12" x14ac:dyDescent="0.25">
      <c r="B671" s="20"/>
      <c r="C671" s="21"/>
      <c r="D671" s="21"/>
      <c r="E671" s="21"/>
      <c r="F671" s="21"/>
      <c r="L671" s="21"/>
    </row>
    <row r="672" spans="2:12" x14ac:dyDescent="0.25">
      <c r="B672" s="20"/>
      <c r="C672" s="21"/>
      <c r="D672" s="21"/>
      <c r="E672" s="21"/>
      <c r="F672" s="21"/>
      <c r="L672" s="21"/>
    </row>
    <row r="673" spans="2:12" x14ac:dyDescent="0.25">
      <c r="B673" s="20"/>
      <c r="C673" s="21"/>
      <c r="D673" s="21"/>
      <c r="E673" s="21"/>
      <c r="F673" s="21"/>
      <c r="L673" s="21"/>
    </row>
    <row r="674" spans="2:12" x14ac:dyDescent="0.25">
      <c r="B674" s="20"/>
      <c r="C674" s="21"/>
      <c r="D674" s="21"/>
      <c r="E674" s="21"/>
      <c r="F674" s="21"/>
      <c r="L674" s="21"/>
    </row>
    <row r="675" spans="2:12" x14ac:dyDescent="0.25">
      <c r="B675" s="20"/>
      <c r="C675" s="21"/>
      <c r="D675" s="21"/>
      <c r="E675" s="21"/>
      <c r="F675" s="21"/>
      <c r="L675" s="21"/>
    </row>
    <row r="676" spans="2:12" x14ac:dyDescent="0.25">
      <c r="B676" s="20"/>
      <c r="C676" s="21"/>
      <c r="D676" s="21"/>
      <c r="E676" s="21"/>
      <c r="F676" s="21"/>
      <c r="L676" s="21"/>
    </row>
    <row r="677" spans="2:12" x14ac:dyDescent="0.25">
      <c r="B677" s="20"/>
      <c r="C677" s="21"/>
      <c r="D677" s="21"/>
      <c r="E677" s="21"/>
      <c r="F677" s="21"/>
      <c r="L677" s="21"/>
    </row>
    <row r="678" spans="2:12" x14ac:dyDescent="0.25">
      <c r="B678" s="20"/>
      <c r="C678" s="21"/>
      <c r="D678" s="21"/>
      <c r="E678" s="21"/>
      <c r="F678" s="21"/>
      <c r="L678" s="21"/>
    </row>
    <row r="679" spans="2:12" x14ac:dyDescent="0.25">
      <c r="B679" s="20"/>
      <c r="C679" s="21"/>
      <c r="D679" s="21"/>
      <c r="E679" s="21"/>
      <c r="F679" s="21"/>
      <c r="L679" s="21"/>
    </row>
    <row r="680" spans="2:12" x14ac:dyDescent="0.25">
      <c r="B680" s="20"/>
      <c r="C680" s="21"/>
      <c r="D680" s="21"/>
      <c r="E680" s="21"/>
      <c r="F680" s="21"/>
      <c r="L680" s="21"/>
    </row>
    <row r="681" spans="2:12" x14ac:dyDescent="0.25">
      <c r="B681" s="20"/>
      <c r="C681" s="21"/>
      <c r="D681" s="21"/>
      <c r="E681" s="21"/>
      <c r="F681" s="21"/>
      <c r="L681" s="21"/>
    </row>
    <row r="682" spans="2:12" x14ac:dyDescent="0.25">
      <c r="B682" s="20"/>
      <c r="C682" s="21"/>
      <c r="D682" s="21"/>
      <c r="E682" s="21"/>
      <c r="F682" s="21"/>
      <c r="L682" s="21"/>
    </row>
    <row r="683" spans="2:12" x14ac:dyDescent="0.25">
      <c r="B683" s="20"/>
      <c r="C683" s="21"/>
      <c r="D683" s="21"/>
      <c r="E683" s="21"/>
      <c r="F683" s="21"/>
      <c r="L683" s="21"/>
    </row>
    <row r="684" spans="2:12" x14ac:dyDescent="0.25">
      <c r="B684" s="20"/>
      <c r="C684" s="21"/>
      <c r="D684" s="21"/>
      <c r="E684" s="21"/>
      <c r="F684" s="21"/>
      <c r="L684" s="21"/>
    </row>
    <row r="685" spans="2:12" x14ac:dyDescent="0.25">
      <c r="B685" s="20"/>
      <c r="C685" s="21"/>
      <c r="D685" s="21"/>
      <c r="E685" s="21"/>
      <c r="F685" s="21"/>
      <c r="L685" s="21"/>
    </row>
    <row r="686" spans="2:12" x14ac:dyDescent="0.25">
      <c r="B686" s="20"/>
      <c r="C686" s="21"/>
      <c r="D686" s="21"/>
      <c r="E686" s="21"/>
      <c r="F686" s="21"/>
      <c r="L686" s="21"/>
    </row>
    <row r="687" spans="2:12" x14ac:dyDescent="0.25">
      <c r="B687" s="20"/>
      <c r="C687" s="21"/>
      <c r="D687" s="21"/>
      <c r="E687" s="21"/>
      <c r="F687" s="21"/>
      <c r="L687" s="21"/>
    </row>
    <row r="688" spans="2:12" x14ac:dyDescent="0.25">
      <c r="B688" s="20"/>
      <c r="C688" s="21"/>
      <c r="D688" s="21"/>
      <c r="E688" s="21"/>
      <c r="F688" s="21"/>
      <c r="L688" s="21"/>
    </row>
    <row r="689" spans="2:12" x14ac:dyDescent="0.25">
      <c r="B689" s="20"/>
      <c r="C689" s="21"/>
      <c r="D689" s="21"/>
      <c r="E689" s="21"/>
      <c r="F689" s="21"/>
      <c r="L689" s="21"/>
    </row>
    <row r="690" spans="2:12" x14ac:dyDescent="0.25">
      <c r="B690" s="20"/>
      <c r="C690" s="21"/>
      <c r="D690" s="21"/>
      <c r="E690" s="21"/>
      <c r="F690" s="21"/>
      <c r="L690" s="21"/>
    </row>
    <row r="691" spans="2:12" x14ac:dyDescent="0.25">
      <c r="B691" s="20"/>
      <c r="C691" s="21"/>
      <c r="D691" s="21"/>
      <c r="E691" s="21"/>
      <c r="F691" s="21"/>
      <c r="L691" s="21"/>
    </row>
    <row r="692" spans="2:12" x14ac:dyDescent="0.25">
      <c r="B692" s="20"/>
      <c r="C692" s="21"/>
      <c r="D692" s="21"/>
      <c r="E692" s="21"/>
      <c r="F692" s="21"/>
      <c r="L692" s="21"/>
    </row>
    <row r="693" spans="2:12" x14ac:dyDescent="0.25">
      <c r="B693" s="20"/>
      <c r="C693" s="21"/>
      <c r="D693" s="21"/>
      <c r="E693" s="21"/>
      <c r="F693" s="21"/>
      <c r="L693" s="21"/>
    </row>
    <row r="694" spans="2:12" x14ac:dyDescent="0.25">
      <c r="B694" s="20"/>
      <c r="C694" s="21"/>
      <c r="D694" s="21"/>
      <c r="E694" s="21"/>
      <c r="F694" s="21"/>
      <c r="L694" s="21"/>
    </row>
    <row r="695" spans="2:12" x14ac:dyDescent="0.25">
      <c r="B695" s="20"/>
      <c r="C695" s="21"/>
      <c r="D695" s="21"/>
      <c r="E695" s="21"/>
      <c r="F695" s="21"/>
      <c r="L695" s="21"/>
    </row>
    <row r="696" spans="2:12" x14ac:dyDescent="0.25">
      <c r="B696" s="20"/>
      <c r="C696" s="21"/>
      <c r="D696" s="21"/>
      <c r="E696" s="21"/>
      <c r="F696" s="21"/>
      <c r="L696" s="21"/>
    </row>
    <row r="697" spans="2:12" x14ac:dyDescent="0.25">
      <c r="B697" s="20"/>
      <c r="C697" s="21"/>
      <c r="D697" s="21"/>
      <c r="E697" s="21"/>
      <c r="F697" s="21"/>
      <c r="L697" s="21"/>
    </row>
    <row r="698" spans="2:12" x14ac:dyDescent="0.25">
      <c r="B698" s="20"/>
      <c r="C698" s="21"/>
      <c r="D698" s="21"/>
      <c r="E698" s="21"/>
      <c r="F698" s="21"/>
      <c r="L698" s="21"/>
    </row>
    <row r="699" spans="2:12" x14ac:dyDescent="0.25">
      <c r="B699" s="20"/>
      <c r="C699" s="21"/>
      <c r="D699" s="21"/>
      <c r="E699" s="21"/>
      <c r="F699" s="21"/>
      <c r="L699" s="21"/>
    </row>
    <row r="700" spans="2:12" x14ac:dyDescent="0.25">
      <c r="B700" s="20"/>
      <c r="C700" s="21"/>
      <c r="D700" s="21"/>
      <c r="E700" s="21"/>
      <c r="F700" s="21"/>
      <c r="L700" s="21"/>
    </row>
    <row r="701" spans="2:12" x14ac:dyDescent="0.25">
      <c r="B701" s="20"/>
      <c r="C701" s="21"/>
      <c r="D701" s="21"/>
      <c r="E701" s="21"/>
      <c r="F701" s="21"/>
      <c r="L701" s="21"/>
    </row>
    <row r="702" spans="2:12" x14ac:dyDescent="0.25">
      <c r="B702" s="20"/>
      <c r="C702" s="21"/>
      <c r="D702" s="21"/>
      <c r="E702" s="21"/>
      <c r="F702" s="21"/>
      <c r="L702" s="21"/>
    </row>
    <row r="703" spans="2:12" x14ac:dyDescent="0.25">
      <c r="B703" s="20"/>
      <c r="C703" s="21"/>
      <c r="D703" s="21"/>
      <c r="E703" s="21"/>
      <c r="F703" s="21"/>
      <c r="L703" s="21"/>
    </row>
    <row r="704" spans="2:12" x14ac:dyDescent="0.25">
      <c r="B704" s="20"/>
      <c r="C704" s="21"/>
      <c r="D704" s="21"/>
      <c r="E704" s="21"/>
      <c r="F704" s="21"/>
      <c r="L704" s="21"/>
    </row>
    <row r="705" spans="2:12" x14ac:dyDescent="0.25">
      <c r="B705" s="20"/>
      <c r="C705" s="21"/>
      <c r="D705" s="21"/>
      <c r="E705" s="21"/>
      <c r="F705" s="21"/>
      <c r="L705" s="21"/>
    </row>
    <row r="706" spans="2:12" x14ac:dyDescent="0.25">
      <c r="B706" s="20"/>
      <c r="C706" s="21"/>
      <c r="D706" s="21"/>
      <c r="E706" s="21"/>
      <c r="F706" s="21"/>
      <c r="L706" s="21"/>
    </row>
    <row r="707" spans="2:12" x14ac:dyDescent="0.25">
      <c r="B707" s="20"/>
      <c r="C707" s="21"/>
      <c r="D707" s="21"/>
      <c r="E707" s="21"/>
      <c r="F707" s="21"/>
      <c r="L707" s="21"/>
    </row>
    <row r="708" spans="2:12" x14ac:dyDescent="0.25">
      <c r="B708" s="20"/>
      <c r="C708" s="21"/>
      <c r="D708" s="21"/>
      <c r="E708" s="21"/>
      <c r="F708" s="21"/>
      <c r="L708" s="21"/>
    </row>
    <row r="709" spans="2:12" x14ac:dyDescent="0.25">
      <c r="B709" s="20"/>
      <c r="C709" s="21"/>
      <c r="D709" s="21"/>
      <c r="E709" s="21"/>
      <c r="F709" s="21"/>
      <c r="L709" s="21"/>
    </row>
    <row r="710" spans="2:12" x14ac:dyDescent="0.25">
      <c r="B710" s="20"/>
      <c r="C710" s="21"/>
      <c r="D710" s="21"/>
      <c r="E710" s="21"/>
      <c r="F710" s="21"/>
      <c r="L710" s="21"/>
    </row>
    <row r="711" spans="2:12" x14ac:dyDescent="0.25">
      <c r="B711" s="20"/>
      <c r="C711" s="21"/>
      <c r="D711" s="21"/>
      <c r="E711" s="21"/>
      <c r="F711" s="21"/>
      <c r="L711" s="21"/>
    </row>
    <row r="712" spans="2:12" x14ac:dyDescent="0.25">
      <c r="B712" s="20"/>
      <c r="C712" s="21"/>
      <c r="D712" s="21"/>
      <c r="E712" s="21"/>
      <c r="F712" s="21"/>
      <c r="L712" s="21"/>
    </row>
    <row r="713" spans="2:12" x14ac:dyDescent="0.25">
      <c r="B713" s="20"/>
      <c r="C713" s="21"/>
      <c r="D713" s="21"/>
      <c r="E713" s="21"/>
      <c r="F713" s="21"/>
      <c r="L713" s="21"/>
    </row>
    <row r="714" spans="2:12" x14ac:dyDescent="0.25">
      <c r="B714" s="20"/>
      <c r="C714" s="21"/>
      <c r="D714" s="21"/>
      <c r="E714" s="21"/>
      <c r="F714" s="21"/>
      <c r="L714" s="21"/>
    </row>
    <row r="715" spans="2:12" x14ac:dyDescent="0.25">
      <c r="B715" s="20"/>
      <c r="C715" s="21"/>
      <c r="D715" s="21"/>
      <c r="E715" s="21"/>
      <c r="F715" s="21"/>
      <c r="L715" s="21"/>
    </row>
    <row r="716" spans="2:12" x14ac:dyDescent="0.25">
      <c r="B716" s="20"/>
      <c r="C716" s="21"/>
      <c r="D716" s="21"/>
      <c r="E716" s="21"/>
      <c r="F716" s="21"/>
      <c r="L716" s="21"/>
    </row>
    <row r="717" spans="2:12" x14ac:dyDescent="0.25">
      <c r="B717" s="20"/>
      <c r="C717" s="21"/>
      <c r="D717" s="21"/>
      <c r="E717" s="21"/>
      <c r="F717" s="21"/>
      <c r="L717" s="21"/>
    </row>
    <row r="718" spans="2:12" x14ac:dyDescent="0.25">
      <c r="B718" s="20"/>
      <c r="C718" s="21"/>
      <c r="D718" s="21"/>
      <c r="E718" s="21"/>
      <c r="F718" s="21"/>
      <c r="L718" s="21"/>
    </row>
    <row r="719" spans="2:12" x14ac:dyDescent="0.25">
      <c r="B719" s="20"/>
      <c r="C719" s="21"/>
      <c r="D719" s="21"/>
      <c r="E719" s="21"/>
      <c r="F719" s="21"/>
      <c r="L719" s="21"/>
    </row>
    <row r="720" spans="2:12" x14ac:dyDescent="0.25">
      <c r="B720" s="20"/>
      <c r="C720" s="21"/>
      <c r="D720" s="21"/>
      <c r="E720" s="21"/>
      <c r="F720" s="21"/>
      <c r="L720" s="21"/>
    </row>
    <row r="721" spans="2:12" x14ac:dyDescent="0.25">
      <c r="B721" s="20"/>
      <c r="C721" s="21"/>
      <c r="D721" s="21"/>
      <c r="E721" s="21"/>
      <c r="F721" s="21"/>
      <c r="L721" s="21"/>
    </row>
    <row r="722" spans="2:12" x14ac:dyDescent="0.25">
      <c r="B722" s="20"/>
      <c r="C722" s="21"/>
      <c r="D722" s="21"/>
      <c r="E722" s="21"/>
      <c r="F722" s="21"/>
      <c r="L722" s="21"/>
    </row>
    <row r="723" spans="2:12" x14ac:dyDescent="0.25">
      <c r="B723" s="20"/>
      <c r="C723" s="21"/>
      <c r="D723" s="21"/>
      <c r="E723" s="21"/>
      <c r="F723" s="21"/>
      <c r="L723" s="21"/>
    </row>
    <row r="724" spans="2:12" x14ac:dyDescent="0.25">
      <c r="B724" s="20"/>
      <c r="C724" s="21"/>
      <c r="D724" s="21"/>
      <c r="E724" s="21"/>
      <c r="F724" s="21"/>
      <c r="L724" s="21"/>
    </row>
    <row r="725" spans="2:12" x14ac:dyDescent="0.25">
      <c r="B725" s="20"/>
      <c r="C725" s="21"/>
      <c r="D725" s="21"/>
      <c r="E725" s="21"/>
      <c r="F725" s="21"/>
      <c r="L725" s="21"/>
    </row>
    <row r="726" spans="2:12" x14ac:dyDescent="0.25">
      <c r="B726" s="20"/>
      <c r="C726" s="21"/>
      <c r="D726" s="21"/>
      <c r="E726" s="21"/>
      <c r="F726" s="21"/>
      <c r="L726" s="21"/>
    </row>
    <row r="727" spans="2:12" x14ac:dyDescent="0.25">
      <c r="B727" s="20"/>
      <c r="C727" s="21"/>
      <c r="D727" s="21"/>
      <c r="E727" s="21"/>
      <c r="F727" s="21"/>
      <c r="L727" s="21"/>
    </row>
    <row r="728" spans="2:12" x14ac:dyDescent="0.25">
      <c r="B728" s="20"/>
      <c r="C728" s="21"/>
      <c r="D728" s="21"/>
      <c r="E728" s="21"/>
      <c r="F728" s="21"/>
      <c r="L728" s="21"/>
    </row>
    <row r="729" spans="2:12" x14ac:dyDescent="0.25">
      <c r="B729" s="20"/>
      <c r="C729" s="21"/>
      <c r="D729" s="21"/>
      <c r="E729" s="21"/>
      <c r="F729" s="21"/>
      <c r="L729" s="21"/>
    </row>
    <row r="730" spans="2:12" x14ac:dyDescent="0.25">
      <c r="B730" s="20"/>
      <c r="C730" s="21"/>
      <c r="D730" s="21"/>
      <c r="E730" s="21"/>
      <c r="F730" s="21"/>
      <c r="L730" s="21"/>
    </row>
    <row r="731" spans="2:12" x14ac:dyDescent="0.25">
      <c r="B731" s="20"/>
      <c r="C731" s="21"/>
      <c r="D731" s="21"/>
      <c r="E731" s="21"/>
      <c r="F731" s="21"/>
      <c r="L731" s="21"/>
    </row>
    <row r="732" spans="2:12" x14ac:dyDescent="0.25">
      <c r="B732" s="20"/>
      <c r="C732" s="21"/>
      <c r="D732" s="21"/>
      <c r="E732" s="21"/>
      <c r="F732" s="21"/>
      <c r="L732" s="21"/>
    </row>
    <row r="733" spans="2:12" x14ac:dyDescent="0.25">
      <c r="B733" s="20"/>
      <c r="C733" s="21"/>
      <c r="D733" s="21"/>
      <c r="E733" s="21"/>
      <c r="F733" s="21"/>
      <c r="L733" s="21"/>
    </row>
    <row r="734" spans="2:12" x14ac:dyDescent="0.25">
      <c r="B734" s="20"/>
      <c r="C734" s="21"/>
      <c r="D734" s="21"/>
      <c r="E734" s="21"/>
      <c r="F734" s="21"/>
      <c r="L734" s="21"/>
    </row>
    <row r="735" spans="2:12" x14ac:dyDescent="0.25">
      <c r="B735" s="20"/>
      <c r="C735" s="21"/>
      <c r="D735" s="21"/>
      <c r="E735" s="21"/>
      <c r="F735" s="21"/>
      <c r="L735" s="21"/>
    </row>
    <row r="736" spans="2:12" x14ac:dyDescent="0.25">
      <c r="B736" s="20"/>
      <c r="C736" s="21"/>
      <c r="D736" s="21"/>
      <c r="E736" s="21"/>
      <c r="F736" s="21"/>
      <c r="L736" s="21"/>
    </row>
    <row r="737" spans="2:12" x14ac:dyDescent="0.25">
      <c r="B737" s="20"/>
      <c r="C737" s="21"/>
      <c r="D737" s="21"/>
      <c r="E737" s="21"/>
      <c r="F737" s="21"/>
      <c r="L737" s="21"/>
    </row>
    <row r="738" spans="2:12" x14ac:dyDescent="0.25">
      <c r="B738" s="20"/>
      <c r="C738" s="21"/>
      <c r="D738" s="21"/>
      <c r="E738" s="21"/>
      <c r="F738" s="21"/>
      <c r="L738" s="21"/>
    </row>
    <row r="739" spans="2:12" x14ac:dyDescent="0.25">
      <c r="B739" s="20"/>
      <c r="C739" s="21"/>
      <c r="D739" s="21"/>
      <c r="E739" s="21"/>
      <c r="F739" s="21"/>
      <c r="L739" s="21"/>
    </row>
    <row r="740" spans="2:12" x14ac:dyDescent="0.25">
      <c r="B740" s="20"/>
      <c r="C740" s="21"/>
      <c r="D740" s="21"/>
      <c r="E740" s="21"/>
      <c r="F740" s="21"/>
      <c r="L740" s="21"/>
    </row>
    <row r="741" spans="2:12" x14ac:dyDescent="0.25">
      <c r="B741" s="20"/>
      <c r="C741" s="21"/>
      <c r="D741" s="21"/>
      <c r="E741" s="21"/>
      <c r="F741" s="21"/>
      <c r="L741" s="21"/>
    </row>
    <row r="742" spans="2:12" x14ac:dyDescent="0.25">
      <c r="B742" s="20"/>
      <c r="C742" s="21"/>
      <c r="D742" s="21"/>
      <c r="E742" s="21"/>
      <c r="F742" s="21"/>
      <c r="L742" s="21"/>
    </row>
    <row r="743" spans="2:12" x14ac:dyDescent="0.25">
      <c r="B743" s="20"/>
      <c r="C743" s="21"/>
      <c r="D743" s="21"/>
      <c r="E743" s="21"/>
      <c r="F743" s="21"/>
      <c r="L743" s="21"/>
    </row>
    <row r="744" spans="2:12" x14ac:dyDescent="0.25">
      <c r="B744" s="20"/>
      <c r="C744" s="21"/>
      <c r="D744" s="21"/>
      <c r="E744" s="21"/>
      <c r="F744" s="21"/>
      <c r="L744" s="21"/>
    </row>
    <row r="745" spans="2:12" x14ac:dyDescent="0.25">
      <c r="B745" s="20"/>
      <c r="C745" s="21"/>
      <c r="D745" s="21"/>
      <c r="E745" s="21"/>
      <c r="F745" s="21"/>
      <c r="L745" s="21"/>
    </row>
    <row r="746" spans="2:12" x14ac:dyDescent="0.25">
      <c r="B746" s="20"/>
      <c r="C746" s="21"/>
      <c r="D746" s="21"/>
      <c r="E746" s="21"/>
      <c r="F746" s="21"/>
      <c r="L746" s="21"/>
    </row>
    <row r="747" spans="2:12" x14ac:dyDescent="0.25">
      <c r="B747" s="20"/>
      <c r="C747" s="21"/>
      <c r="D747" s="21"/>
      <c r="E747" s="21"/>
      <c r="F747" s="21"/>
      <c r="L747" s="21"/>
    </row>
    <row r="748" spans="2:12" x14ac:dyDescent="0.25">
      <c r="B748" s="20"/>
      <c r="C748" s="21"/>
      <c r="D748" s="21"/>
      <c r="E748" s="21"/>
      <c r="F748" s="21"/>
      <c r="L748" s="21"/>
    </row>
    <row r="749" spans="2:12" x14ac:dyDescent="0.25">
      <c r="B749" s="20"/>
      <c r="C749" s="21"/>
      <c r="D749" s="21"/>
      <c r="E749" s="21"/>
      <c r="F749" s="21"/>
      <c r="L749" s="21"/>
    </row>
    <row r="750" spans="2:12" x14ac:dyDescent="0.25">
      <c r="B750" s="20"/>
      <c r="C750" s="21"/>
      <c r="D750" s="21"/>
      <c r="E750" s="21"/>
      <c r="F750" s="21"/>
      <c r="L750" s="21"/>
    </row>
    <row r="751" spans="2:12" x14ac:dyDescent="0.25">
      <c r="B751" s="20"/>
      <c r="C751" s="21"/>
      <c r="D751" s="21"/>
      <c r="E751" s="21"/>
      <c r="F751" s="21"/>
      <c r="L751" s="21"/>
    </row>
    <row r="752" spans="2:12" x14ac:dyDescent="0.25">
      <c r="B752" s="20"/>
      <c r="C752" s="21"/>
      <c r="D752" s="21"/>
      <c r="E752" s="21"/>
      <c r="F752" s="21"/>
      <c r="L752" s="21"/>
    </row>
    <row r="753" spans="2:12" x14ac:dyDescent="0.25">
      <c r="B753" s="20"/>
      <c r="C753" s="21"/>
      <c r="D753" s="21"/>
      <c r="E753" s="21"/>
      <c r="F753" s="21"/>
      <c r="L753" s="21"/>
    </row>
    <row r="754" spans="2:12" x14ac:dyDescent="0.25">
      <c r="B754" s="20"/>
      <c r="C754" s="21"/>
      <c r="D754" s="21"/>
      <c r="E754" s="21"/>
      <c r="F754" s="21"/>
      <c r="L754" s="21"/>
    </row>
    <row r="755" spans="2:12" x14ac:dyDescent="0.25">
      <c r="B755" s="20"/>
      <c r="C755" s="21"/>
      <c r="D755" s="21"/>
      <c r="E755" s="21"/>
      <c r="F755" s="21"/>
      <c r="L755" s="21"/>
    </row>
    <row r="756" spans="2:12" x14ac:dyDescent="0.25">
      <c r="B756" s="20"/>
      <c r="C756" s="21"/>
      <c r="D756" s="21"/>
      <c r="E756" s="21"/>
      <c r="F756" s="21"/>
      <c r="L756" s="21"/>
    </row>
    <row r="757" spans="2:12" x14ac:dyDescent="0.25">
      <c r="B757" s="20"/>
      <c r="C757" s="21"/>
      <c r="D757" s="21"/>
      <c r="E757" s="21"/>
      <c r="F757" s="21"/>
      <c r="L757" s="21"/>
    </row>
    <row r="758" spans="2:12" x14ac:dyDescent="0.25">
      <c r="B758" s="20"/>
      <c r="C758" s="21"/>
      <c r="D758" s="21"/>
      <c r="E758" s="21"/>
      <c r="F758" s="21"/>
      <c r="L758" s="21"/>
    </row>
    <row r="759" spans="2:12" x14ac:dyDescent="0.25">
      <c r="B759" s="20"/>
      <c r="C759" s="21"/>
      <c r="D759" s="21"/>
      <c r="E759" s="21"/>
      <c r="F759" s="21"/>
      <c r="L759" s="21"/>
    </row>
    <row r="760" spans="2:12" x14ac:dyDescent="0.25">
      <c r="B760" s="20"/>
      <c r="C760" s="21"/>
      <c r="D760" s="21"/>
      <c r="E760" s="21"/>
      <c r="F760" s="21"/>
      <c r="L760" s="21"/>
    </row>
    <row r="761" spans="2:12" x14ac:dyDescent="0.25">
      <c r="B761" s="20"/>
      <c r="C761" s="21"/>
      <c r="D761" s="21"/>
      <c r="E761" s="21"/>
      <c r="F761" s="21"/>
      <c r="L761" s="21"/>
    </row>
    <row r="762" spans="2:12" x14ac:dyDescent="0.25">
      <c r="B762" s="20"/>
      <c r="C762" s="21"/>
      <c r="D762" s="21"/>
      <c r="E762" s="21"/>
      <c r="F762" s="21"/>
      <c r="L762" s="21"/>
    </row>
    <row r="763" spans="2:12" x14ac:dyDescent="0.25">
      <c r="B763" s="20"/>
      <c r="C763" s="21"/>
      <c r="D763" s="21"/>
      <c r="E763" s="21"/>
      <c r="F763" s="21"/>
      <c r="L763" s="21"/>
    </row>
    <row r="764" spans="2:12" x14ac:dyDescent="0.25">
      <c r="B764" s="20"/>
      <c r="C764" s="21"/>
      <c r="D764" s="21"/>
      <c r="E764" s="21"/>
      <c r="F764" s="21"/>
      <c r="L764" s="21"/>
    </row>
    <row r="765" spans="2:12" x14ac:dyDescent="0.25">
      <c r="B765" s="20"/>
      <c r="C765" s="21"/>
      <c r="D765" s="21"/>
      <c r="E765" s="21"/>
      <c r="F765" s="21"/>
      <c r="L765" s="21"/>
    </row>
    <row r="766" spans="2:12" x14ac:dyDescent="0.25">
      <c r="B766" s="20"/>
      <c r="C766" s="21"/>
      <c r="D766" s="21"/>
      <c r="E766" s="21"/>
      <c r="F766" s="21"/>
      <c r="L766" s="21"/>
    </row>
    <row r="767" spans="2:12" x14ac:dyDescent="0.25">
      <c r="B767" s="20"/>
      <c r="C767" s="21"/>
      <c r="D767" s="21"/>
      <c r="E767" s="21"/>
      <c r="F767" s="21"/>
      <c r="L767" s="21"/>
    </row>
    <row r="768" spans="2:12" x14ac:dyDescent="0.25">
      <c r="B768" s="20"/>
      <c r="C768" s="21"/>
      <c r="D768" s="21"/>
      <c r="E768" s="21"/>
      <c r="F768" s="21"/>
      <c r="L768" s="21"/>
    </row>
    <row r="769" spans="2:12" x14ac:dyDescent="0.25">
      <c r="B769" s="20"/>
      <c r="C769" s="21"/>
      <c r="D769" s="21"/>
      <c r="E769" s="21"/>
      <c r="F769" s="21"/>
      <c r="L769" s="21"/>
    </row>
    <row r="770" spans="2:12" x14ac:dyDescent="0.25">
      <c r="B770" s="20"/>
      <c r="C770" s="21"/>
      <c r="D770" s="21"/>
      <c r="E770" s="21"/>
      <c r="F770" s="21"/>
      <c r="L770" s="21"/>
    </row>
    <row r="771" spans="2:12" x14ac:dyDescent="0.25">
      <c r="B771" s="20"/>
      <c r="C771" s="21"/>
      <c r="D771" s="21"/>
      <c r="E771" s="21"/>
      <c r="F771" s="21"/>
      <c r="L771" s="21"/>
    </row>
    <row r="772" spans="2:12" x14ac:dyDescent="0.25">
      <c r="B772" s="20"/>
      <c r="C772" s="21"/>
      <c r="D772" s="21"/>
      <c r="E772" s="21"/>
      <c r="F772" s="21"/>
      <c r="L772" s="21"/>
    </row>
    <row r="773" spans="2:12" x14ac:dyDescent="0.25">
      <c r="B773" s="20"/>
      <c r="C773" s="21"/>
      <c r="D773" s="21"/>
      <c r="E773" s="21"/>
      <c r="F773" s="21"/>
      <c r="L773" s="21"/>
    </row>
    <row r="774" spans="2:12" x14ac:dyDescent="0.25">
      <c r="B774" s="20"/>
      <c r="C774" s="21"/>
      <c r="D774" s="21"/>
      <c r="E774" s="21"/>
      <c r="F774" s="21"/>
      <c r="L774" s="21"/>
    </row>
    <row r="775" spans="2:12" x14ac:dyDescent="0.25">
      <c r="B775" s="20"/>
      <c r="C775" s="21"/>
      <c r="D775" s="21"/>
      <c r="E775" s="21"/>
      <c r="F775" s="21"/>
      <c r="L775" s="21"/>
    </row>
    <row r="776" spans="2:12" x14ac:dyDescent="0.25">
      <c r="B776" s="20"/>
      <c r="C776" s="21"/>
      <c r="D776" s="21"/>
      <c r="E776" s="21"/>
      <c r="F776" s="21"/>
      <c r="L776" s="21"/>
    </row>
    <row r="777" spans="2:12" x14ac:dyDescent="0.25">
      <c r="B777" s="20"/>
      <c r="C777" s="21"/>
      <c r="D777" s="21"/>
      <c r="E777" s="21"/>
      <c r="F777" s="21"/>
      <c r="L777" s="21"/>
    </row>
    <row r="778" spans="2:12" x14ac:dyDescent="0.25">
      <c r="B778" s="20"/>
      <c r="C778" s="21"/>
      <c r="D778" s="21"/>
      <c r="E778" s="21"/>
      <c r="F778" s="21"/>
      <c r="L778" s="21"/>
    </row>
    <row r="779" spans="2:12" x14ac:dyDescent="0.25">
      <c r="B779" s="20"/>
      <c r="C779" s="21"/>
      <c r="D779" s="21"/>
      <c r="E779" s="21"/>
      <c r="F779" s="21"/>
      <c r="L779" s="21"/>
    </row>
    <row r="780" spans="2:12" x14ac:dyDescent="0.25">
      <c r="B780" s="20"/>
      <c r="C780" s="21"/>
      <c r="D780" s="21"/>
      <c r="E780" s="21"/>
      <c r="F780" s="21"/>
      <c r="L780" s="21"/>
    </row>
    <row r="781" spans="2:12" x14ac:dyDescent="0.25">
      <c r="B781" s="20"/>
      <c r="C781" s="21"/>
      <c r="D781" s="21"/>
      <c r="E781" s="21"/>
      <c r="F781" s="21"/>
      <c r="L781" s="21"/>
    </row>
    <row r="782" spans="2:12" x14ac:dyDescent="0.25">
      <c r="B782" s="20"/>
      <c r="C782" s="21"/>
      <c r="D782" s="21"/>
      <c r="E782" s="21"/>
      <c r="F782" s="21"/>
      <c r="L782" s="21"/>
    </row>
    <row r="783" spans="2:12" x14ac:dyDescent="0.25">
      <c r="B783" s="20"/>
      <c r="C783" s="21"/>
      <c r="D783" s="21"/>
      <c r="E783" s="21"/>
      <c r="F783" s="21"/>
      <c r="L783" s="21"/>
    </row>
    <row r="784" spans="2:12" x14ac:dyDescent="0.25">
      <c r="B784" s="20"/>
      <c r="C784" s="21"/>
      <c r="D784" s="21"/>
      <c r="E784" s="21"/>
      <c r="F784" s="21"/>
      <c r="L784" s="21"/>
    </row>
    <row r="785" spans="2:12" x14ac:dyDescent="0.25">
      <c r="B785" s="20"/>
      <c r="C785" s="21"/>
      <c r="D785" s="21"/>
      <c r="E785" s="21"/>
      <c r="F785" s="21"/>
      <c r="L785" s="21"/>
    </row>
    <row r="786" spans="2:12" x14ac:dyDescent="0.25">
      <c r="B786" s="20"/>
      <c r="C786" s="21"/>
      <c r="D786" s="21"/>
      <c r="E786" s="21"/>
      <c r="F786" s="21"/>
      <c r="L786" s="21"/>
    </row>
    <row r="787" spans="2:12" x14ac:dyDescent="0.25">
      <c r="B787" s="20"/>
      <c r="C787" s="21"/>
      <c r="D787" s="21"/>
      <c r="E787" s="21"/>
      <c r="F787" s="21"/>
      <c r="L787" s="21"/>
    </row>
    <row r="788" spans="2:12" x14ac:dyDescent="0.25">
      <c r="B788" s="20"/>
      <c r="C788" s="21"/>
      <c r="D788" s="21"/>
      <c r="E788" s="21"/>
      <c r="F788" s="21"/>
      <c r="L788" s="21"/>
    </row>
    <row r="789" spans="2:12" x14ac:dyDescent="0.25">
      <c r="B789" s="20"/>
      <c r="C789" s="21"/>
      <c r="D789" s="21"/>
      <c r="E789" s="21"/>
      <c r="F789" s="21"/>
      <c r="L789" s="21"/>
    </row>
    <row r="790" spans="2:12" x14ac:dyDescent="0.25">
      <c r="B790" s="20"/>
      <c r="C790" s="21"/>
      <c r="D790" s="21"/>
      <c r="E790" s="21"/>
      <c r="F790" s="21"/>
      <c r="L790" s="21"/>
    </row>
    <row r="791" spans="2:12" x14ac:dyDescent="0.25">
      <c r="B791" s="20"/>
      <c r="C791" s="21"/>
      <c r="D791" s="21"/>
      <c r="E791" s="21"/>
      <c r="F791" s="21"/>
      <c r="L791" s="21"/>
    </row>
    <row r="792" spans="2:12" x14ac:dyDescent="0.25">
      <c r="B792" s="20"/>
      <c r="C792" s="21"/>
      <c r="D792" s="21"/>
      <c r="E792" s="21"/>
      <c r="F792" s="21"/>
      <c r="L792" s="21"/>
    </row>
    <row r="793" spans="2:12" x14ac:dyDescent="0.25">
      <c r="B793" s="20"/>
      <c r="C793" s="21"/>
      <c r="D793" s="21"/>
      <c r="E793" s="21"/>
      <c r="F793" s="21"/>
      <c r="L793" s="21"/>
    </row>
    <row r="794" spans="2:12" x14ac:dyDescent="0.25">
      <c r="B794" s="20"/>
      <c r="C794" s="21"/>
      <c r="D794" s="21"/>
      <c r="E794" s="21"/>
      <c r="F794" s="21"/>
      <c r="L794" s="21"/>
    </row>
    <row r="795" spans="2:12" x14ac:dyDescent="0.25">
      <c r="B795" s="20"/>
      <c r="C795" s="21"/>
      <c r="D795" s="21"/>
      <c r="E795" s="21"/>
      <c r="F795" s="21"/>
      <c r="L795" s="21"/>
    </row>
    <row r="796" spans="2:12" x14ac:dyDescent="0.25">
      <c r="B796" s="20"/>
      <c r="C796" s="21"/>
      <c r="D796" s="21"/>
      <c r="E796" s="21"/>
      <c r="F796" s="21"/>
      <c r="L796" s="21"/>
    </row>
    <row r="797" spans="2:12" x14ac:dyDescent="0.25">
      <c r="B797" s="20"/>
      <c r="C797" s="21"/>
      <c r="D797" s="21"/>
      <c r="E797" s="21"/>
      <c r="F797" s="21"/>
      <c r="L797" s="21"/>
    </row>
    <row r="798" spans="2:12" x14ac:dyDescent="0.25">
      <c r="B798" s="20"/>
      <c r="C798" s="21"/>
      <c r="D798" s="21"/>
      <c r="E798" s="21"/>
      <c r="F798" s="21"/>
      <c r="L798" s="21"/>
    </row>
    <row r="799" spans="2:12" x14ac:dyDescent="0.25">
      <c r="B799" s="20"/>
      <c r="C799" s="21"/>
      <c r="D799" s="21"/>
      <c r="E799" s="21"/>
      <c r="F799" s="21"/>
      <c r="L799" s="21"/>
    </row>
    <row r="800" spans="2:12" x14ac:dyDescent="0.25">
      <c r="B800" s="20"/>
      <c r="C800" s="21"/>
      <c r="D800" s="21"/>
      <c r="E800" s="21"/>
      <c r="F800" s="21"/>
      <c r="L800" s="21"/>
    </row>
    <row r="801" spans="2:12" x14ac:dyDescent="0.25">
      <c r="B801" s="20"/>
      <c r="C801" s="21"/>
      <c r="D801" s="21"/>
      <c r="E801" s="21"/>
      <c r="F801" s="21"/>
      <c r="L801" s="21"/>
    </row>
    <row r="802" spans="2:12" x14ac:dyDescent="0.25">
      <c r="B802" s="20"/>
      <c r="C802" s="21"/>
      <c r="D802" s="21"/>
      <c r="E802" s="21"/>
      <c r="F802" s="21"/>
      <c r="L802" s="21"/>
    </row>
    <row r="803" spans="2:12" x14ac:dyDescent="0.25">
      <c r="B803" s="20"/>
      <c r="C803" s="21"/>
      <c r="D803" s="21"/>
      <c r="E803" s="21"/>
      <c r="F803" s="21"/>
      <c r="L803" s="21"/>
    </row>
    <row r="804" spans="2:12" x14ac:dyDescent="0.25">
      <c r="B804" s="20"/>
      <c r="C804" s="21"/>
      <c r="D804" s="21"/>
      <c r="E804" s="21"/>
      <c r="F804" s="21"/>
      <c r="L804" s="21"/>
    </row>
    <row r="805" spans="2:12" x14ac:dyDescent="0.25">
      <c r="B805" s="20"/>
      <c r="C805" s="21"/>
      <c r="D805" s="21"/>
      <c r="E805" s="21"/>
      <c r="F805" s="21"/>
      <c r="L805" s="21"/>
    </row>
    <row r="806" spans="2:12" x14ac:dyDescent="0.25">
      <c r="B806" s="20"/>
      <c r="C806" s="21"/>
      <c r="D806" s="21"/>
      <c r="E806" s="21"/>
      <c r="F806" s="21"/>
      <c r="L806" s="21"/>
    </row>
    <row r="807" spans="2:12" x14ac:dyDescent="0.25">
      <c r="B807" s="20"/>
      <c r="C807" s="21"/>
      <c r="D807" s="21"/>
      <c r="E807" s="21"/>
      <c r="F807" s="21"/>
      <c r="L807" s="21"/>
    </row>
    <row r="808" spans="2:12" x14ac:dyDescent="0.25">
      <c r="B808" s="20"/>
      <c r="C808" s="21"/>
      <c r="D808" s="21"/>
      <c r="E808" s="21"/>
      <c r="F808" s="21"/>
      <c r="L808" s="21"/>
    </row>
    <row r="809" spans="2:12" x14ac:dyDescent="0.25">
      <c r="B809" s="20"/>
      <c r="C809" s="21"/>
      <c r="D809" s="21"/>
      <c r="E809" s="21"/>
      <c r="F809" s="21"/>
      <c r="L809" s="21"/>
    </row>
    <row r="810" spans="2:12" x14ac:dyDescent="0.25">
      <c r="B810" s="20"/>
      <c r="C810" s="21"/>
      <c r="D810" s="21"/>
      <c r="E810" s="21"/>
      <c r="F810" s="21"/>
      <c r="L810" s="21"/>
    </row>
    <row r="811" spans="2:12" x14ac:dyDescent="0.25">
      <c r="B811" s="20"/>
      <c r="C811" s="21"/>
      <c r="D811" s="21"/>
      <c r="E811" s="21"/>
      <c r="F811" s="21"/>
      <c r="L811" s="21"/>
    </row>
    <row r="812" spans="2:12" x14ac:dyDescent="0.25">
      <c r="B812" s="20"/>
      <c r="C812" s="21"/>
      <c r="D812" s="21"/>
      <c r="E812" s="21"/>
      <c r="F812" s="21"/>
      <c r="L812" s="21"/>
    </row>
    <row r="813" spans="2:12" x14ac:dyDescent="0.25">
      <c r="B813" s="20"/>
      <c r="C813" s="21"/>
      <c r="D813" s="21"/>
      <c r="E813" s="21"/>
      <c r="F813" s="21"/>
      <c r="L813" s="21"/>
    </row>
    <row r="814" spans="2:12" x14ac:dyDescent="0.25">
      <c r="B814" s="20"/>
      <c r="C814" s="21"/>
      <c r="D814" s="21"/>
      <c r="E814" s="21"/>
      <c r="F814" s="21"/>
      <c r="L814" s="21"/>
    </row>
    <row r="815" spans="2:12" x14ac:dyDescent="0.25">
      <c r="B815" s="20"/>
      <c r="C815" s="21"/>
      <c r="D815" s="21"/>
      <c r="E815" s="21"/>
      <c r="F815" s="21"/>
      <c r="L815" s="21"/>
    </row>
    <row r="816" spans="2:12" x14ac:dyDescent="0.25">
      <c r="B816" s="20"/>
      <c r="C816" s="21"/>
      <c r="D816" s="21"/>
      <c r="E816" s="21"/>
      <c r="F816" s="21"/>
      <c r="L816" s="21"/>
    </row>
    <row r="817" spans="2:12" x14ac:dyDescent="0.25">
      <c r="B817" s="20"/>
      <c r="C817" s="21"/>
      <c r="D817" s="21"/>
      <c r="E817" s="21"/>
      <c r="F817" s="21"/>
      <c r="L817" s="21"/>
    </row>
    <row r="818" spans="2:12" x14ac:dyDescent="0.25">
      <c r="B818" s="20"/>
      <c r="C818" s="21"/>
      <c r="D818" s="21"/>
      <c r="E818" s="21"/>
      <c r="F818" s="21"/>
      <c r="L818" s="21"/>
    </row>
    <row r="819" spans="2:12" x14ac:dyDescent="0.25">
      <c r="B819" s="20"/>
      <c r="C819" s="21"/>
      <c r="D819" s="21"/>
      <c r="E819" s="21"/>
      <c r="F819" s="21"/>
      <c r="L819" s="21"/>
    </row>
    <row r="820" spans="2:12" x14ac:dyDescent="0.25">
      <c r="B820" s="20"/>
      <c r="C820" s="21"/>
      <c r="D820" s="21"/>
      <c r="E820" s="21"/>
      <c r="F820" s="21"/>
      <c r="L820" s="21"/>
    </row>
    <row r="821" spans="2:12" x14ac:dyDescent="0.25">
      <c r="B821" s="20"/>
      <c r="C821" s="21"/>
      <c r="D821" s="21"/>
      <c r="E821" s="21"/>
      <c r="F821" s="21"/>
      <c r="L821" s="21"/>
    </row>
    <row r="822" spans="2:12" x14ac:dyDescent="0.25">
      <c r="B822" s="20"/>
      <c r="C822" s="21"/>
      <c r="D822" s="21"/>
      <c r="E822" s="21"/>
      <c r="F822" s="21"/>
      <c r="L822" s="21"/>
    </row>
    <row r="823" spans="2:12" x14ac:dyDescent="0.25">
      <c r="B823" s="20"/>
      <c r="C823" s="21"/>
      <c r="D823" s="21"/>
      <c r="E823" s="21"/>
      <c r="F823" s="21"/>
      <c r="L823" s="21"/>
    </row>
    <row r="824" spans="2:12" x14ac:dyDescent="0.25">
      <c r="B824" s="20"/>
      <c r="C824" s="21"/>
      <c r="D824" s="21"/>
      <c r="E824" s="21"/>
      <c r="F824" s="21"/>
      <c r="L824" s="21"/>
    </row>
    <row r="825" spans="2:12" x14ac:dyDescent="0.25">
      <c r="B825" s="20"/>
      <c r="C825" s="21"/>
      <c r="D825" s="21"/>
      <c r="E825" s="21"/>
      <c r="F825" s="21"/>
      <c r="L825" s="21"/>
    </row>
    <row r="826" spans="2:12" x14ac:dyDescent="0.25">
      <c r="B826" s="20"/>
      <c r="C826" s="21"/>
      <c r="D826" s="21"/>
      <c r="E826" s="21"/>
      <c r="F826" s="21"/>
      <c r="L826" s="21"/>
    </row>
    <row r="827" spans="2:12" x14ac:dyDescent="0.25">
      <c r="B827" s="20"/>
      <c r="C827" s="21"/>
      <c r="D827" s="21"/>
      <c r="E827" s="21"/>
      <c r="F827" s="21"/>
      <c r="L827" s="21"/>
    </row>
    <row r="828" spans="2:12" x14ac:dyDescent="0.25">
      <c r="B828" s="20"/>
      <c r="C828" s="21"/>
      <c r="D828" s="21"/>
      <c r="E828" s="21"/>
      <c r="F828" s="21"/>
      <c r="L828" s="21"/>
    </row>
    <row r="829" spans="2:12" x14ac:dyDescent="0.25">
      <c r="B829" s="20"/>
      <c r="C829" s="21"/>
      <c r="D829" s="21"/>
      <c r="E829" s="21"/>
      <c r="F829" s="21"/>
      <c r="L829" s="21"/>
    </row>
    <row r="830" spans="2:12" x14ac:dyDescent="0.25">
      <c r="B830" s="20"/>
      <c r="C830" s="21"/>
      <c r="D830" s="21"/>
      <c r="E830" s="21"/>
      <c r="F830" s="21"/>
      <c r="L830" s="21"/>
    </row>
    <row r="831" spans="2:12" x14ac:dyDescent="0.25">
      <c r="B831" s="20"/>
      <c r="C831" s="21"/>
      <c r="D831" s="21"/>
      <c r="E831" s="21"/>
      <c r="F831" s="21"/>
      <c r="L831" s="21"/>
    </row>
    <row r="832" spans="2:12" x14ac:dyDescent="0.25">
      <c r="B832" s="20"/>
      <c r="C832" s="21"/>
      <c r="D832" s="21"/>
      <c r="E832" s="21"/>
      <c r="F832" s="21"/>
      <c r="L832" s="21"/>
    </row>
    <row r="833" spans="2:12" x14ac:dyDescent="0.25">
      <c r="B833" s="20"/>
      <c r="C833" s="21"/>
      <c r="D833" s="21"/>
      <c r="E833" s="21"/>
      <c r="F833" s="21"/>
      <c r="L833" s="21"/>
    </row>
    <row r="834" spans="2:12" x14ac:dyDescent="0.25">
      <c r="B834" s="20"/>
      <c r="C834" s="21"/>
      <c r="D834" s="21"/>
      <c r="E834" s="21"/>
      <c r="F834" s="21"/>
      <c r="L834" s="21"/>
    </row>
    <row r="835" spans="2:12" x14ac:dyDescent="0.25">
      <c r="B835" s="20"/>
      <c r="C835" s="21"/>
      <c r="D835" s="21"/>
      <c r="E835" s="21"/>
      <c r="F835" s="21"/>
      <c r="L835" s="21"/>
    </row>
    <row r="836" spans="2:12" x14ac:dyDescent="0.25">
      <c r="B836" s="20"/>
      <c r="C836" s="21"/>
      <c r="D836" s="21"/>
      <c r="E836" s="21"/>
      <c r="F836" s="21"/>
      <c r="L836" s="21"/>
    </row>
    <row r="837" spans="2:12" x14ac:dyDescent="0.25">
      <c r="B837" s="20"/>
      <c r="C837" s="21"/>
      <c r="D837" s="21"/>
      <c r="E837" s="21"/>
      <c r="F837" s="21"/>
      <c r="L837" s="21"/>
    </row>
    <row r="838" spans="2:12" x14ac:dyDescent="0.25">
      <c r="B838" s="20"/>
      <c r="C838" s="21"/>
      <c r="D838" s="21"/>
      <c r="E838" s="21"/>
      <c r="F838" s="21"/>
      <c r="L838" s="21"/>
    </row>
    <row r="839" spans="2:12" x14ac:dyDescent="0.25">
      <c r="B839" s="20"/>
      <c r="C839" s="21"/>
      <c r="D839" s="21"/>
      <c r="E839" s="21"/>
      <c r="F839" s="21"/>
      <c r="L839" s="21"/>
    </row>
    <row r="840" spans="2:12" x14ac:dyDescent="0.25">
      <c r="B840" s="20"/>
      <c r="C840" s="21"/>
      <c r="D840" s="21"/>
      <c r="E840" s="21"/>
      <c r="F840" s="21"/>
      <c r="L840" s="21"/>
    </row>
    <row r="841" spans="2:12" x14ac:dyDescent="0.25">
      <c r="B841" s="20"/>
      <c r="C841" s="21"/>
      <c r="D841" s="21"/>
      <c r="E841" s="21"/>
      <c r="F841" s="21"/>
      <c r="L841" s="21"/>
    </row>
    <row r="842" spans="2:12" x14ac:dyDescent="0.25">
      <c r="B842" s="20"/>
      <c r="C842" s="21"/>
      <c r="D842" s="21"/>
      <c r="E842" s="21"/>
      <c r="F842" s="21"/>
      <c r="L842" s="21"/>
    </row>
    <row r="843" spans="2:12" x14ac:dyDescent="0.25">
      <c r="B843" s="20"/>
      <c r="C843" s="21"/>
      <c r="D843" s="21"/>
      <c r="E843" s="21"/>
      <c r="F843" s="21"/>
      <c r="L843" s="21"/>
    </row>
    <row r="844" spans="2:12" x14ac:dyDescent="0.25">
      <c r="B844" s="20"/>
      <c r="C844" s="21"/>
      <c r="D844" s="21"/>
      <c r="E844" s="21"/>
      <c r="F844" s="21"/>
      <c r="L844" s="21"/>
    </row>
    <row r="845" spans="2:12" x14ac:dyDescent="0.25">
      <c r="B845" s="20"/>
      <c r="C845" s="21"/>
      <c r="D845" s="21"/>
      <c r="E845" s="21"/>
      <c r="F845" s="21"/>
      <c r="L845" s="21"/>
    </row>
    <row r="846" spans="2:12" x14ac:dyDescent="0.25">
      <c r="B846" s="20"/>
      <c r="C846" s="21"/>
      <c r="D846" s="21"/>
      <c r="E846" s="21"/>
      <c r="F846" s="21"/>
      <c r="L846" s="21"/>
    </row>
    <row r="847" spans="2:12" x14ac:dyDescent="0.25">
      <c r="B847" s="20"/>
      <c r="C847" s="21"/>
      <c r="D847" s="21"/>
      <c r="E847" s="21"/>
      <c r="F847" s="21"/>
      <c r="L847" s="21"/>
    </row>
    <row r="848" spans="2:12" x14ac:dyDescent="0.25">
      <c r="B848" s="20"/>
      <c r="C848" s="21"/>
      <c r="D848" s="21"/>
      <c r="E848" s="21"/>
      <c r="F848" s="21"/>
      <c r="L848" s="21"/>
    </row>
    <row r="849" spans="2:12" x14ac:dyDescent="0.25">
      <c r="B849" s="20"/>
      <c r="C849" s="21"/>
      <c r="D849" s="21"/>
      <c r="E849" s="21"/>
      <c r="F849" s="21"/>
      <c r="L849" s="21"/>
    </row>
    <row r="850" spans="2:12" x14ac:dyDescent="0.25">
      <c r="B850" s="20"/>
      <c r="C850" s="21"/>
      <c r="D850" s="21"/>
      <c r="E850" s="21"/>
      <c r="F850" s="21"/>
      <c r="L850" s="21"/>
    </row>
    <row r="851" spans="2:12" x14ac:dyDescent="0.25">
      <c r="B851" s="20"/>
      <c r="C851" s="21"/>
      <c r="D851" s="21"/>
      <c r="E851" s="21"/>
      <c r="F851" s="21"/>
      <c r="L851" s="21"/>
    </row>
    <row r="852" spans="2:12" x14ac:dyDescent="0.25">
      <c r="B852" s="20"/>
      <c r="C852" s="21"/>
      <c r="D852" s="21"/>
      <c r="E852" s="21"/>
      <c r="F852" s="21"/>
      <c r="L852" s="21"/>
    </row>
    <row r="853" spans="2:12" x14ac:dyDescent="0.25">
      <c r="B853" s="20"/>
      <c r="C853" s="21"/>
      <c r="D853" s="21"/>
      <c r="E853" s="21"/>
      <c r="F853" s="21"/>
      <c r="L853" s="21"/>
    </row>
    <row r="854" spans="2:12" x14ac:dyDescent="0.25">
      <c r="B854" s="20"/>
      <c r="C854" s="21"/>
      <c r="D854" s="21"/>
      <c r="E854" s="21"/>
      <c r="F854" s="21"/>
      <c r="L854" s="21"/>
    </row>
    <row r="855" spans="2:12" x14ac:dyDescent="0.25">
      <c r="B855" s="20"/>
      <c r="C855" s="21"/>
      <c r="D855" s="21"/>
      <c r="E855" s="21"/>
      <c r="F855" s="21"/>
      <c r="L855" s="21"/>
    </row>
    <row r="856" spans="2:12" x14ac:dyDescent="0.25">
      <c r="B856" s="20"/>
      <c r="C856" s="21"/>
      <c r="D856" s="21"/>
      <c r="E856" s="21"/>
      <c r="F856" s="21"/>
      <c r="L856" s="21"/>
    </row>
    <row r="857" spans="2:12" x14ac:dyDescent="0.25">
      <c r="B857" s="20"/>
      <c r="C857" s="21"/>
      <c r="D857" s="21"/>
      <c r="E857" s="21"/>
      <c r="F857" s="21"/>
      <c r="L857" s="21"/>
    </row>
    <row r="858" spans="2:12" x14ac:dyDescent="0.25">
      <c r="B858" s="20"/>
      <c r="C858" s="21"/>
      <c r="D858" s="21"/>
      <c r="E858" s="21"/>
      <c r="F858" s="21"/>
      <c r="L858" s="21"/>
    </row>
    <row r="859" spans="2:12" x14ac:dyDescent="0.25">
      <c r="B859" s="20"/>
      <c r="C859" s="21"/>
      <c r="D859" s="21"/>
      <c r="E859" s="21"/>
      <c r="F859" s="21"/>
      <c r="L859" s="21"/>
    </row>
    <row r="860" spans="2:12" x14ac:dyDescent="0.25">
      <c r="B860" s="20"/>
      <c r="C860" s="21"/>
      <c r="D860" s="21"/>
      <c r="E860" s="21"/>
      <c r="F860" s="21"/>
      <c r="L860" s="21"/>
    </row>
    <row r="861" spans="2:12" x14ac:dyDescent="0.25">
      <c r="B861" s="20"/>
      <c r="C861" s="21"/>
      <c r="D861" s="21"/>
      <c r="E861" s="21"/>
      <c r="F861" s="21"/>
      <c r="L861" s="21"/>
    </row>
    <row r="862" spans="2:12" x14ac:dyDescent="0.25">
      <c r="B862" s="20"/>
      <c r="C862" s="21"/>
      <c r="D862" s="21"/>
      <c r="E862" s="21"/>
      <c r="F862" s="21"/>
      <c r="L862" s="21"/>
    </row>
    <row r="863" spans="2:12" x14ac:dyDescent="0.25">
      <c r="B863" s="20"/>
      <c r="C863" s="21"/>
      <c r="D863" s="21"/>
      <c r="E863" s="21"/>
      <c r="F863" s="21"/>
      <c r="L863" s="21"/>
    </row>
    <row r="864" spans="2:12" x14ac:dyDescent="0.25">
      <c r="B864" s="20"/>
      <c r="C864" s="21"/>
      <c r="D864" s="21"/>
      <c r="E864" s="21"/>
      <c r="F864" s="21"/>
      <c r="L864" s="21"/>
    </row>
    <row r="865" spans="2:12" x14ac:dyDescent="0.25">
      <c r="B865" s="20"/>
      <c r="C865" s="21"/>
      <c r="D865" s="21"/>
      <c r="E865" s="21"/>
      <c r="F865" s="21"/>
      <c r="L865" s="21"/>
    </row>
    <row r="866" spans="2:12" x14ac:dyDescent="0.25">
      <c r="B866" s="20"/>
      <c r="C866" s="21"/>
      <c r="D866" s="21"/>
      <c r="E866" s="21"/>
      <c r="F866" s="21"/>
      <c r="L866" s="21"/>
    </row>
    <row r="867" spans="2:12" x14ac:dyDescent="0.25">
      <c r="B867" s="20"/>
      <c r="C867" s="21"/>
      <c r="D867" s="21"/>
      <c r="E867" s="21"/>
      <c r="F867" s="21"/>
      <c r="L867" s="21"/>
    </row>
    <row r="868" spans="2:12" x14ac:dyDescent="0.25">
      <c r="B868" s="20"/>
      <c r="C868" s="21"/>
      <c r="D868" s="21"/>
      <c r="E868" s="21"/>
      <c r="F868" s="21"/>
      <c r="L868" s="21"/>
    </row>
    <row r="869" spans="2:12" x14ac:dyDescent="0.25">
      <c r="B869" s="20"/>
      <c r="C869" s="21"/>
      <c r="D869" s="21"/>
      <c r="E869" s="21"/>
      <c r="F869" s="21"/>
      <c r="L869" s="21"/>
    </row>
    <row r="870" spans="2:12" x14ac:dyDescent="0.25">
      <c r="B870" s="20"/>
      <c r="C870" s="21"/>
      <c r="D870" s="21"/>
      <c r="E870" s="21"/>
      <c r="F870" s="21"/>
      <c r="L870" s="21"/>
    </row>
    <row r="871" spans="2:12" x14ac:dyDescent="0.25">
      <c r="B871" s="20"/>
      <c r="C871" s="21"/>
      <c r="D871" s="21"/>
      <c r="E871" s="21"/>
      <c r="F871" s="21"/>
      <c r="L871" s="21"/>
    </row>
    <row r="872" spans="2:12" x14ac:dyDescent="0.25">
      <c r="B872" s="20"/>
      <c r="C872" s="21"/>
      <c r="D872" s="21"/>
      <c r="E872" s="21"/>
      <c r="F872" s="21"/>
      <c r="L872" s="21"/>
    </row>
    <row r="873" spans="2:12" x14ac:dyDescent="0.25">
      <c r="B873" s="20"/>
      <c r="C873" s="21"/>
      <c r="D873" s="21"/>
      <c r="E873" s="21"/>
      <c r="F873" s="21"/>
      <c r="L873" s="21"/>
    </row>
    <row r="874" spans="2:12" x14ac:dyDescent="0.25">
      <c r="B874" s="20"/>
      <c r="C874" s="21"/>
      <c r="D874" s="21"/>
      <c r="E874" s="21"/>
      <c r="F874" s="21"/>
      <c r="L874" s="21"/>
    </row>
    <row r="875" spans="2:12" x14ac:dyDescent="0.25">
      <c r="B875" s="20"/>
      <c r="C875" s="21"/>
      <c r="D875" s="21"/>
      <c r="E875" s="21"/>
      <c r="F875" s="21"/>
      <c r="L875" s="21"/>
    </row>
    <row r="876" spans="2:12" x14ac:dyDescent="0.25">
      <c r="B876" s="20"/>
      <c r="C876" s="21"/>
      <c r="D876" s="21"/>
      <c r="E876" s="21"/>
      <c r="F876" s="21"/>
      <c r="L876" s="21"/>
    </row>
    <row r="877" spans="2:12" x14ac:dyDescent="0.25">
      <c r="B877" s="20"/>
      <c r="C877" s="21"/>
      <c r="D877" s="21"/>
      <c r="E877" s="21"/>
      <c r="F877" s="21"/>
      <c r="L877" s="21"/>
    </row>
    <row r="878" spans="2:12" x14ac:dyDescent="0.25">
      <c r="B878" s="20"/>
      <c r="C878" s="21"/>
      <c r="D878" s="21"/>
      <c r="E878" s="21"/>
      <c r="F878" s="21"/>
      <c r="L878" s="21"/>
    </row>
    <row r="879" spans="2:12" x14ac:dyDescent="0.25">
      <c r="B879" s="20"/>
      <c r="C879" s="21"/>
      <c r="D879" s="21"/>
      <c r="E879" s="21"/>
      <c r="F879" s="21"/>
      <c r="L879" s="21"/>
    </row>
    <row r="880" spans="2:12" x14ac:dyDescent="0.25">
      <c r="B880" s="20"/>
      <c r="C880" s="21"/>
      <c r="D880" s="21"/>
      <c r="E880" s="21"/>
      <c r="F880" s="21"/>
      <c r="L880" s="21"/>
    </row>
    <row r="881" spans="2:12" x14ac:dyDescent="0.25">
      <c r="B881" s="20"/>
      <c r="C881" s="21"/>
      <c r="D881" s="21"/>
      <c r="E881" s="21"/>
      <c r="F881" s="21"/>
      <c r="L881" s="21"/>
    </row>
    <row r="882" spans="2:12" x14ac:dyDescent="0.25">
      <c r="B882" s="20"/>
      <c r="C882" s="21"/>
      <c r="D882" s="21"/>
      <c r="E882" s="21"/>
      <c r="F882" s="21"/>
      <c r="L882" s="21"/>
    </row>
    <row r="883" spans="2:12" x14ac:dyDescent="0.25">
      <c r="B883" s="20"/>
      <c r="C883" s="21"/>
      <c r="D883" s="21"/>
      <c r="E883" s="21"/>
      <c r="F883" s="21"/>
      <c r="L883" s="21"/>
    </row>
    <row r="884" spans="2:12" x14ac:dyDescent="0.25">
      <c r="B884" s="20"/>
      <c r="C884" s="21"/>
      <c r="D884" s="21"/>
      <c r="E884" s="21"/>
      <c r="F884" s="21"/>
      <c r="L884" s="21"/>
    </row>
    <row r="885" spans="2:12" x14ac:dyDescent="0.25">
      <c r="B885" s="20"/>
      <c r="C885" s="21"/>
      <c r="D885" s="21"/>
      <c r="E885" s="21"/>
      <c r="F885" s="21"/>
      <c r="L885" s="21"/>
    </row>
    <row r="886" spans="2:12" x14ac:dyDescent="0.25">
      <c r="B886" s="20"/>
      <c r="C886" s="21"/>
      <c r="D886" s="21"/>
      <c r="E886" s="21"/>
      <c r="F886" s="21"/>
      <c r="L886" s="21"/>
    </row>
    <row r="887" spans="2:12" x14ac:dyDescent="0.25">
      <c r="B887" s="20"/>
      <c r="C887" s="21"/>
      <c r="D887" s="21"/>
      <c r="E887" s="21"/>
      <c r="F887" s="21"/>
      <c r="L887" s="21"/>
    </row>
    <row r="888" spans="2:12" x14ac:dyDescent="0.25">
      <c r="B888" s="20"/>
      <c r="C888" s="21"/>
      <c r="D888" s="21"/>
      <c r="E888" s="21"/>
      <c r="F888" s="21"/>
      <c r="L888" s="21"/>
    </row>
    <row r="889" spans="2:12" x14ac:dyDescent="0.25">
      <c r="B889" s="20"/>
      <c r="C889" s="21"/>
      <c r="D889" s="21"/>
      <c r="E889" s="21"/>
      <c r="F889" s="21"/>
      <c r="L889" s="21"/>
    </row>
    <row r="890" spans="2:12" x14ac:dyDescent="0.25">
      <c r="B890" s="20"/>
      <c r="C890" s="21"/>
      <c r="D890" s="21"/>
      <c r="E890" s="21"/>
      <c r="F890" s="21"/>
      <c r="L890" s="21"/>
    </row>
    <row r="891" spans="2:12" x14ac:dyDescent="0.25">
      <c r="B891" s="20"/>
      <c r="C891" s="21"/>
      <c r="D891" s="21"/>
      <c r="E891" s="21"/>
      <c r="F891" s="21"/>
      <c r="L891" s="21"/>
    </row>
    <row r="892" spans="2:12" x14ac:dyDescent="0.25">
      <c r="B892" s="20"/>
      <c r="C892" s="21"/>
      <c r="D892" s="21"/>
      <c r="E892" s="21"/>
      <c r="F892" s="21"/>
      <c r="L892" s="21"/>
    </row>
    <row r="893" spans="2:12" x14ac:dyDescent="0.25">
      <c r="B893" s="20"/>
      <c r="C893" s="21"/>
      <c r="D893" s="21"/>
      <c r="E893" s="21"/>
      <c r="F893" s="21"/>
      <c r="L893" s="21"/>
    </row>
    <row r="894" spans="2:12" x14ac:dyDescent="0.25">
      <c r="B894" s="20"/>
      <c r="C894" s="21"/>
      <c r="D894" s="21"/>
      <c r="E894" s="21"/>
      <c r="F894" s="21"/>
      <c r="L894" s="21"/>
    </row>
    <row r="895" spans="2:12" x14ac:dyDescent="0.25">
      <c r="B895" s="20"/>
      <c r="C895" s="21"/>
      <c r="D895" s="21"/>
      <c r="E895" s="21"/>
      <c r="F895" s="21"/>
      <c r="L895" s="21"/>
    </row>
    <row r="896" spans="2:12" x14ac:dyDescent="0.25">
      <c r="B896" s="20"/>
      <c r="C896" s="21"/>
      <c r="D896" s="21"/>
      <c r="E896" s="21"/>
      <c r="F896" s="21"/>
      <c r="L896" s="21"/>
    </row>
    <row r="897" spans="2:12" x14ac:dyDescent="0.25">
      <c r="B897" s="20"/>
      <c r="C897" s="21"/>
      <c r="D897" s="21"/>
      <c r="E897" s="21"/>
      <c r="F897" s="21"/>
      <c r="L897" s="21"/>
    </row>
    <row r="898" spans="2:12" x14ac:dyDescent="0.25">
      <c r="B898" s="20"/>
      <c r="C898" s="21"/>
      <c r="D898" s="21"/>
      <c r="E898" s="21"/>
      <c r="F898" s="21"/>
      <c r="L898" s="21"/>
    </row>
    <row r="899" spans="2:12" x14ac:dyDescent="0.25">
      <c r="B899" s="20"/>
      <c r="C899" s="21"/>
      <c r="D899" s="21"/>
      <c r="E899" s="21"/>
      <c r="F899" s="21"/>
      <c r="L899" s="21"/>
    </row>
    <row r="900" spans="2:12" x14ac:dyDescent="0.25">
      <c r="B900" s="20"/>
      <c r="C900" s="21"/>
      <c r="D900" s="21"/>
      <c r="E900" s="21"/>
      <c r="F900" s="21"/>
      <c r="L900" s="21"/>
    </row>
    <row r="901" spans="2:12" x14ac:dyDescent="0.25">
      <c r="B901" s="20"/>
      <c r="C901" s="21"/>
      <c r="D901" s="21"/>
      <c r="E901" s="21"/>
      <c r="F901" s="21"/>
      <c r="L901" s="21"/>
    </row>
    <row r="902" spans="2:12" x14ac:dyDescent="0.25">
      <c r="B902" s="20"/>
      <c r="C902" s="21"/>
      <c r="D902" s="21"/>
      <c r="E902" s="21"/>
      <c r="F902" s="21"/>
      <c r="L902" s="21"/>
    </row>
    <row r="903" spans="2:12" x14ac:dyDescent="0.25">
      <c r="B903" s="20"/>
      <c r="C903" s="21"/>
      <c r="D903" s="21"/>
      <c r="E903" s="21"/>
      <c r="F903" s="21"/>
      <c r="L903" s="21"/>
    </row>
    <row r="904" spans="2:12" x14ac:dyDescent="0.25">
      <c r="B904" s="20"/>
      <c r="C904" s="21"/>
      <c r="D904" s="21"/>
      <c r="E904" s="21"/>
      <c r="F904" s="21"/>
      <c r="L904" s="21"/>
    </row>
    <row r="905" spans="2:12" x14ac:dyDescent="0.25">
      <c r="B905" s="20"/>
      <c r="C905" s="21"/>
      <c r="D905" s="21"/>
      <c r="E905" s="21"/>
      <c r="F905" s="21"/>
      <c r="L905" s="21"/>
    </row>
    <row r="906" spans="2:12" x14ac:dyDescent="0.25">
      <c r="B906" s="20"/>
      <c r="C906" s="21"/>
      <c r="D906" s="21"/>
      <c r="E906" s="21"/>
      <c r="F906" s="21"/>
      <c r="L906" s="21"/>
    </row>
    <row r="907" spans="2:12" x14ac:dyDescent="0.25">
      <c r="B907" s="20"/>
      <c r="C907" s="21"/>
      <c r="D907" s="21"/>
      <c r="E907" s="21"/>
      <c r="F907" s="21"/>
      <c r="L907" s="21"/>
    </row>
    <row r="908" spans="2:12" x14ac:dyDescent="0.25">
      <c r="B908" s="20"/>
      <c r="C908" s="21"/>
      <c r="D908" s="21"/>
      <c r="E908" s="21"/>
      <c r="F908" s="21"/>
      <c r="L908" s="21"/>
    </row>
    <row r="909" spans="2:12" x14ac:dyDescent="0.25">
      <c r="B909" s="20"/>
      <c r="C909" s="21"/>
      <c r="D909" s="21"/>
      <c r="E909" s="21"/>
      <c r="F909" s="21"/>
      <c r="L909" s="21"/>
    </row>
    <row r="910" spans="2:12" x14ac:dyDescent="0.25">
      <c r="B910" s="20"/>
      <c r="C910" s="21"/>
      <c r="D910" s="21"/>
      <c r="E910" s="21"/>
      <c r="F910" s="21"/>
      <c r="L910" s="21"/>
    </row>
    <row r="911" spans="2:12" x14ac:dyDescent="0.25">
      <c r="B911" s="20"/>
      <c r="C911" s="21"/>
      <c r="D911" s="21"/>
      <c r="E911" s="21"/>
      <c r="F911" s="21"/>
      <c r="L911" s="21"/>
    </row>
    <row r="912" spans="2:12" x14ac:dyDescent="0.25">
      <c r="B912" s="20"/>
      <c r="C912" s="21"/>
      <c r="D912" s="21"/>
      <c r="E912" s="21"/>
      <c r="F912" s="21"/>
      <c r="L912" s="21"/>
    </row>
    <row r="913" spans="2:12" x14ac:dyDescent="0.25">
      <c r="B913" s="20"/>
      <c r="C913" s="21"/>
      <c r="D913" s="21"/>
      <c r="E913" s="21"/>
      <c r="F913" s="21"/>
      <c r="L913" s="21"/>
    </row>
    <row r="914" spans="2:12" x14ac:dyDescent="0.25">
      <c r="B914" s="20"/>
      <c r="C914" s="21"/>
      <c r="D914" s="21"/>
      <c r="E914" s="21"/>
      <c r="F914" s="21"/>
      <c r="L914" s="21"/>
    </row>
    <row r="915" spans="2:12" x14ac:dyDescent="0.25">
      <c r="B915" s="20"/>
      <c r="C915" s="21"/>
      <c r="D915" s="21"/>
      <c r="E915" s="21"/>
      <c r="F915" s="21"/>
      <c r="L915" s="21"/>
    </row>
    <row r="916" spans="2:12" x14ac:dyDescent="0.25">
      <c r="B916" s="20"/>
      <c r="C916" s="21"/>
      <c r="D916" s="21"/>
      <c r="E916" s="21"/>
      <c r="F916" s="21"/>
      <c r="L916" s="21"/>
    </row>
    <row r="917" spans="2:12" x14ac:dyDescent="0.25">
      <c r="B917" s="20"/>
      <c r="C917" s="21"/>
      <c r="D917" s="21"/>
      <c r="E917" s="21"/>
      <c r="F917" s="21"/>
      <c r="L917" s="21"/>
    </row>
    <row r="918" spans="2:12" x14ac:dyDescent="0.25">
      <c r="B918" s="20"/>
      <c r="C918" s="21"/>
      <c r="D918" s="21"/>
      <c r="E918" s="21"/>
      <c r="F918" s="21"/>
      <c r="L918" s="21"/>
    </row>
    <row r="919" spans="2:12" x14ac:dyDescent="0.25">
      <c r="B919" s="20"/>
      <c r="C919" s="21"/>
      <c r="D919" s="21"/>
      <c r="E919" s="21"/>
      <c r="F919" s="21"/>
      <c r="L919" s="21"/>
    </row>
    <row r="920" spans="2:12" x14ac:dyDescent="0.25">
      <c r="B920" s="20"/>
      <c r="C920" s="21"/>
      <c r="D920" s="21"/>
      <c r="E920" s="21"/>
      <c r="F920" s="21"/>
      <c r="L920" s="21"/>
    </row>
    <row r="921" spans="2:12" x14ac:dyDescent="0.25">
      <c r="B921" s="20"/>
      <c r="C921" s="21"/>
      <c r="D921" s="21"/>
      <c r="E921" s="21"/>
      <c r="F921" s="21"/>
      <c r="L921" s="21"/>
    </row>
    <row r="922" spans="2:12" x14ac:dyDescent="0.25">
      <c r="B922" s="20"/>
      <c r="C922" s="21"/>
      <c r="D922" s="21"/>
      <c r="E922" s="21"/>
      <c r="F922" s="21"/>
      <c r="L922" s="21"/>
    </row>
    <row r="923" spans="2:12" x14ac:dyDescent="0.25">
      <c r="B923" s="20"/>
      <c r="C923" s="21"/>
      <c r="D923" s="21"/>
      <c r="E923" s="21"/>
      <c r="F923" s="21"/>
      <c r="L923" s="21"/>
    </row>
    <row r="924" spans="2:12" x14ac:dyDescent="0.25">
      <c r="B924" s="20"/>
      <c r="C924" s="21"/>
      <c r="D924" s="21"/>
      <c r="E924" s="21"/>
      <c r="F924" s="21"/>
      <c r="L924" s="21"/>
    </row>
    <row r="925" spans="2:12" x14ac:dyDescent="0.25">
      <c r="B925" s="20"/>
      <c r="C925" s="21"/>
      <c r="D925" s="21"/>
      <c r="E925" s="21"/>
      <c r="F925" s="21"/>
      <c r="L925" s="21"/>
    </row>
    <row r="926" spans="2:12" x14ac:dyDescent="0.25">
      <c r="B926" s="20"/>
      <c r="C926" s="21"/>
      <c r="D926" s="21"/>
      <c r="E926" s="21"/>
      <c r="F926" s="21"/>
      <c r="L926" s="21"/>
    </row>
    <row r="927" spans="2:12" x14ac:dyDescent="0.25">
      <c r="B927" s="20"/>
      <c r="C927" s="21"/>
      <c r="D927" s="21"/>
      <c r="E927" s="21"/>
      <c r="F927" s="21"/>
      <c r="L927" s="21"/>
    </row>
    <row r="928" spans="2:12" x14ac:dyDescent="0.25">
      <c r="B928" s="20"/>
      <c r="C928" s="21"/>
      <c r="D928" s="21"/>
      <c r="E928" s="21"/>
      <c r="F928" s="21"/>
      <c r="L928" s="21"/>
    </row>
    <row r="929" spans="2:12" x14ac:dyDescent="0.25">
      <c r="B929" s="20"/>
      <c r="C929" s="21"/>
      <c r="D929" s="21"/>
      <c r="E929" s="21"/>
      <c r="F929" s="21"/>
      <c r="L929" s="21"/>
    </row>
    <row r="930" spans="2:12" x14ac:dyDescent="0.25">
      <c r="B930" s="20"/>
      <c r="C930" s="21"/>
      <c r="D930" s="21"/>
      <c r="E930" s="21"/>
      <c r="F930" s="21"/>
      <c r="L930" s="21"/>
    </row>
    <row r="931" spans="2:12" x14ac:dyDescent="0.25">
      <c r="B931" s="20"/>
      <c r="C931" s="21"/>
      <c r="D931" s="21"/>
      <c r="E931" s="21"/>
      <c r="F931" s="21"/>
      <c r="L931" s="21"/>
    </row>
    <row r="932" spans="2:12" x14ac:dyDescent="0.25">
      <c r="B932" s="20"/>
      <c r="C932" s="21"/>
      <c r="D932" s="21"/>
      <c r="E932" s="21"/>
      <c r="F932" s="21"/>
      <c r="L932" s="21"/>
    </row>
    <row r="933" spans="2:12" x14ac:dyDescent="0.25">
      <c r="B933" s="20"/>
      <c r="C933" s="21"/>
      <c r="D933" s="21"/>
      <c r="E933" s="21"/>
      <c r="F933" s="21"/>
      <c r="L933" s="21"/>
    </row>
    <row r="934" spans="2:12" x14ac:dyDescent="0.25">
      <c r="B934" s="20"/>
      <c r="C934" s="21"/>
      <c r="D934" s="21"/>
      <c r="E934" s="21"/>
      <c r="F934" s="21"/>
      <c r="L934" s="21"/>
    </row>
    <row r="935" spans="2:12" x14ac:dyDescent="0.25">
      <c r="B935" s="20"/>
      <c r="C935" s="21"/>
      <c r="D935" s="21"/>
      <c r="E935" s="21"/>
      <c r="F935" s="21"/>
      <c r="L935" s="21"/>
    </row>
    <row r="936" spans="2:12" x14ac:dyDescent="0.25">
      <c r="B936" s="20"/>
      <c r="C936" s="21"/>
      <c r="D936" s="21"/>
      <c r="E936" s="21"/>
      <c r="F936" s="21"/>
      <c r="L936" s="21"/>
    </row>
    <row r="937" spans="2:12" x14ac:dyDescent="0.25">
      <c r="B937" s="20"/>
      <c r="C937" s="21"/>
      <c r="D937" s="21"/>
      <c r="E937" s="21"/>
      <c r="F937" s="21"/>
      <c r="L937" s="21"/>
    </row>
    <row r="938" spans="2:12" x14ac:dyDescent="0.25">
      <c r="B938" s="20"/>
      <c r="C938" s="21"/>
      <c r="D938" s="21"/>
      <c r="E938" s="21"/>
      <c r="F938" s="21"/>
      <c r="L938" s="21"/>
    </row>
    <row r="939" spans="2:12" x14ac:dyDescent="0.25">
      <c r="B939" s="20"/>
      <c r="C939" s="21"/>
      <c r="D939" s="21"/>
      <c r="E939" s="21"/>
      <c r="F939" s="21"/>
      <c r="L939" s="21"/>
    </row>
    <row r="940" spans="2:12" x14ac:dyDescent="0.25">
      <c r="B940" s="20"/>
      <c r="C940" s="21"/>
      <c r="D940" s="21"/>
      <c r="E940" s="21"/>
      <c r="F940" s="21"/>
      <c r="L940" s="21"/>
    </row>
    <row r="941" spans="2:12" x14ac:dyDescent="0.25">
      <c r="B941" s="20"/>
      <c r="C941" s="21"/>
      <c r="D941" s="21"/>
      <c r="E941" s="21"/>
      <c r="F941" s="21"/>
      <c r="L941" s="21"/>
    </row>
    <row r="942" spans="2:12" x14ac:dyDescent="0.25">
      <c r="B942" s="20"/>
      <c r="C942" s="21"/>
      <c r="D942" s="21"/>
      <c r="E942" s="21"/>
      <c r="F942" s="21"/>
      <c r="L942" s="21"/>
    </row>
    <row r="943" spans="2:12" x14ac:dyDescent="0.25">
      <c r="B943" s="20"/>
      <c r="C943" s="21"/>
      <c r="D943" s="21"/>
      <c r="E943" s="21"/>
      <c r="F943" s="21"/>
      <c r="L943" s="21"/>
    </row>
    <row r="944" spans="2:12" x14ac:dyDescent="0.25">
      <c r="B944" s="20"/>
      <c r="C944" s="21"/>
      <c r="D944" s="21"/>
      <c r="E944" s="21"/>
      <c r="F944" s="21"/>
      <c r="L944" s="21"/>
    </row>
    <row r="945" spans="2:12" x14ac:dyDescent="0.25">
      <c r="B945" s="20"/>
      <c r="C945" s="21"/>
      <c r="D945" s="21"/>
      <c r="E945" s="21"/>
      <c r="F945" s="21"/>
      <c r="L945" s="21"/>
    </row>
    <row r="946" spans="2:12" x14ac:dyDescent="0.25">
      <c r="B946" s="20"/>
      <c r="C946" s="21"/>
      <c r="D946" s="21"/>
      <c r="E946" s="21"/>
      <c r="F946" s="21"/>
      <c r="L946" s="21"/>
    </row>
    <row r="947" spans="2:12" x14ac:dyDescent="0.25">
      <c r="B947" s="20"/>
      <c r="C947" s="21"/>
      <c r="D947" s="21"/>
      <c r="E947" s="21"/>
      <c r="F947" s="21"/>
      <c r="L947" s="21"/>
    </row>
    <row r="948" spans="2:12" x14ac:dyDescent="0.25">
      <c r="B948" s="20"/>
      <c r="C948" s="21"/>
      <c r="D948" s="21"/>
      <c r="E948" s="21"/>
      <c r="F948" s="21"/>
      <c r="L948" s="21"/>
    </row>
    <row r="949" spans="2:12" x14ac:dyDescent="0.25">
      <c r="B949" s="20"/>
      <c r="C949" s="21"/>
      <c r="D949" s="21"/>
      <c r="E949" s="21"/>
      <c r="F949" s="21"/>
      <c r="L949" s="21"/>
    </row>
    <row r="950" spans="2:12" x14ac:dyDescent="0.25">
      <c r="B950" s="20"/>
      <c r="C950" s="21"/>
      <c r="D950" s="21"/>
      <c r="E950" s="21"/>
      <c r="F950" s="21"/>
      <c r="L950" s="21"/>
    </row>
    <row r="951" spans="2:12" x14ac:dyDescent="0.25">
      <c r="B951" s="20"/>
      <c r="C951" s="21"/>
      <c r="D951" s="21"/>
      <c r="E951" s="21"/>
      <c r="F951" s="21"/>
      <c r="L951" s="21"/>
    </row>
    <row r="952" spans="2:12" x14ac:dyDescent="0.25">
      <c r="B952" s="20"/>
      <c r="C952" s="21"/>
      <c r="D952" s="21"/>
      <c r="E952" s="21"/>
      <c r="F952" s="21"/>
      <c r="L952" s="21"/>
    </row>
    <row r="953" spans="2:12" x14ac:dyDescent="0.25">
      <c r="B953" s="20"/>
      <c r="C953" s="21"/>
      <c r="D953" s="21"/>
      <c r="E953" s="21"/>
      <c r="F953" s="21"/>
      <c r="L953" s="21"/>
    </row>
    <row r="954" spans="2:12" x14ac:dyDescent="0.25">
      <c r="B954" s="20"/>
      <c r="C954" s="21"/>
      <c r="D954" s="21"/>
      <c r="E954" s="21"/>
      <c r="F954" s="21"/>
      <c r="L954" s="21"/>
    </row>
    <row r="955" spans="2:12" x14ac:dyDescent="0.25">
      <c r="B955" s="20"/>
      <c r="C955" s="21"/>
      <c r="D955" s="21"/>
      <c r="E955" s="21"/>
      <c r="F955" s="21"/>
      <c r="L955" s="21"/>
    </row>
    <row r="956" spans="2:12" x14ac:dyDescent="0.25">
      <c r="B956" s="20"/>
      <c r="C956" s="21"/>
      <c r="D956" s="21"/>
      <c r="E956" s="21"/>
      <c r="F956" s="21"/>
      <c r="L956" s="21"/>
    </row>
    <row r="957" spans="2:12" x14ac:dyDescent="0.25">
      <c r="B957" s="20"/>
      <c r="C957" s="21"/>
      <c r="D957" s="21"/>
      <c r="E957" s="21"/>
      <c r="F957" s="21"/>
      <c r="L957" s="21"/>
    </row>
    <row r="958" spans="2:12" x14ac:dyDescent="0.25">
      <c r="B958" s="20"/>
      <c r="C958" s="21"/>
      <c r="D958" s="21"/>
      <c r="E958" s="21"/>
      <c r="F958" s="21"/>
      <c r="L958" s="21"/>
    </row>
    <row r="959" spans="2:12" x14ac:dyDescent="0.25">
      <c r="B959" s="20"/>
      <c r="C959" s="21"/>
      <c r="D959" s="21"/>
      <c r="E959" s="21"/>
      <c r="F959" s="21"/>
      <c r="L959" s="21"/>
    </row>
    <row r="960" spans="2:12" x14ac:dyDescent="0.25">
      <c r="B960" s="20"/>
      <c r="C960" s="21"/>
      <c r="D960" s="21"/>
      <c r="E960" s="21"/>
      <c r="F960" s="21"/>
      <c r="L960" s="21"/>
    </row>
    <row r="961" spans="2:12" x14ac:dyDescent="0.25">
      <c r="B961" s="20"/>
      <c r="C961" s="21"/>
      <c r="D961" s="21"/>
      <c r="E961" s="21"/>
      <c r="F961" s="21"/>
      <c r="L961" s="21"/>
    </row>
    <row r="962" spans="2:12" x14ac:dyDescent="0.25">
      <c r="B962" s="20"/>
      <c r="C962" s="21"/>
      <c r="D962" s="21"/>
      <c r="E962" s="21"/>
      <c r="F962" s="21"/>
      <c r="L962" s="21"/>
    </row>
    <row r="963" spans="2:12" x14ac:dyDescent="0.25">
      <c r="B963" s="20"/>
      <c r="C963" s="21"/>
      <c r="D963" s="21"/>
      <c r="E963" s="21"/>
      <c r="F963" s="21"/>
      <c r="L963" s="21"/>
    </row>
    <row r="964" spans="2:12" x14ac:dyDescent="0.25">
      <c r="B964" s="20"/>
      <c r="C964" s="21"/>
      <c r="D964" s="21"/>
      <c r="E964" s="21"/>
      <c r="F964" s="21"/>
      <c r="L964" s="21"/>
    </row>
    <row r="965" spans="2:12" x14ac:dyDescent="0.25">
      <c r="B965" s="20"/>
      <c r="C965" s="21"/>
      <c r="D965" s="21"/>
      <c r="E965" s="21"/>
      <c r="F965" s="21"/>
      <c r="L965" s="21"/>
    </row>
    <row r="966" spans="2:12" x14ac:dyDescent="0.25">
      <c r="B966" s="20"/>
      <c r="C966" s="21"/>
      <c r="D966" s="21"/>
      <c r="E966" s="21"/>
      <c r="F966" s="21"/>
      <c r="L966" s="21"/>
    </row>
    <row r="967" spans="2:12" x14ac:dyDescent="0.25">
      <c r="B967" s="20"/>
      <c r="C967" s="21"/>
      <c r="D967" s="21"/>
      <c r="E967" s="21"/>
      <c r="F967" s="21"/>
      <c r="L967" s="21"/>
    </row>
    <row r="968" spans="2:12" x14ac:dyDescent="0.25">
      <c r="B968" s="20"/>
      <c r="C968" s="21"/>
      <c r="D968" s="21"/>
      <c r="E968" s="21"/>
      <c r="F968" s="21"/>
      <c r="L968" s="21"/>
    </row>
    <row r="969" spans="2:12" x14ac:dyDescent="0.25">
      <c r="B969" s="20"/>
      <c r="C969" s="21"/>
      <c r="D969" s="21"/>
      <c r="E969" s="21"/>
      <c r="F969" s="21"/>
      <c r="L969" s="21"/>
    </row>
    <row r="970" spans="2:12" x14ac:dyDescent="0.25">
      <c r="B970" s="20"/>
      <c r="C970" s="21"/>
      <c r="D970" s="21"/>
      <c r="E970" s="21"/>
      <c r="F970" s="21"/>
      <c r="L970" s="21"/>
    </row>
    <row r="971" spans="2:12" x14ac:dyDescent="0.25">
      <c r="B971" s="20"/>
      <c r="C971" s="21"/>
      <c r="D971" s="21"/>
      <c r="E971" s="21"/>
      <c r="F971" s="21"/>
      <c r="L971" s="21"/>
    </row>
    <row r="972" spans="2:12" x14ac:dyDescent="0.25">
      <c r="B972" s="20"/>
      <c r="C972" s="21"/>
      <c r="D972" s="21"/>
      <c r="E972" s="21"/>
      <c r="F972" s="21"/>
      <c r="L972" s="21"/>
    </row>
    <row r="973" spans="2:12" x14ac:dyDescent="0.25">
      <c r="B973" s="20"/>
      <c r="C973" s="21"/>
      <c r="D973" s="21"/>
      <c r="E973" s="21"/>
      <c r="F973" s="21"/>
      <c r="L973" s="21"/>
    </row>
    <row r="974" spans="2:12" x14ac:dyDescent="0.25">
      <c r="B974" s="20"/>
      <c r="C974" s="21"/>
      <c r="D974" s="21"/>
      <c r="E974" s="21"/>
      <c r="F974" s="21"/>
      <c r="L974" s="21"/>
    </row>
    <row r="975" spans="2:12" x14ac:dyDescent="0.25">
      <c r="B975" s="20"/>
      <c r="C975" s="21"/>
      <c r="D975" s="21"/>
      <c r="E975" s="21"/>
      <c r="F975" s="21"/>
      <c r="L975" s="21"/>
    </row>
    <row r="976" spans="2:12" x14ac:dyDescent="0.25">
      <c r="B976" s="20"/>
      <c r="C976" s="21"/>
      <c r="D976" s="21"/>
      <c r="E976" s="21"/>
      <c r="F976" s="21"/>
      <c r="L976" s="21"/>
    </row>
    <row r="977" spans="2:12" x14ac:dyDescent="0.25">
      <c r="B977" s="20"/>
      <c r="C977" s="21"/>
      <c r="D977" s="21"/>
      <c r="E977" s="21"/>
      <c r="F977" s="21"/>
      <c r="L977" s="21"/>
    </row>
    <row r="978" spans="2:12" x14ac:dyDescent="0.25">
      <c r="B978" s="20"/>
      <c r="C978" s="21"/>
      <c r="D978" s="21"/>
      <c r="E978" s="21"/>
      <c r="F978" s="21"/>
      <c r="L978" s="21"/>
    </row>
    <row r="979" spans="2:12" x14ac:dyDescent="0.25">
      <c r="B979" s="20"/>
      <c r="C979" s="21"/>
      <c r="D979" s="21"/>
      <c r="E979" s="21"/>
      <c r="F979" s="21"/>
      <c r="L979" s="21"/>
    </row>
    <row r="980" spans="2:12" x14ac:dyDescent="0.25">
      <c r="B980" s="20"/>
      <c r="C980" s="21"/>
      <c r="D980" s="21"/>
      <c r="E980" s="21"/>
      <c r="F980" s="21"/>
      <c r="L980" s="21"/>
    </row>
    <row r="981" spans="2:12" x14ac:dyDescent="0.25">
      <c r="B981" s="20"/>
      <c r="C981" s="21"/>
      <c r="D981" s="21"/>
      <c r="E981" s="21"/>
      <c r="F981" s="21"/>
      <c r="L981" s="21"/>
    </row>
    <row r="982" spans="2:12" x14ac:dyDescent="0.25">
      <c r="B982" s="20"/>
      <c r="C982" s="21"/>
      <c r="D982" s="21"/>
      <c r="E982" s="21"/>
      <c r="F982" s="21"/>
      <c r="L982" s="21"/>
    </row>
    <row r="983" spans="2:12" x14ac:dyDescent="0.25">
      <c r="B983" s="20"/>
      <c r="C983" s="21"/>
      <c r="D983" s="21"/>
      <c r="E983" s="21"/>
      <c r="F983" s="21"/>
      <c r="L983" s="21"/>
    </row>
    <row r="984" spans="2:12" x14ac:dyDescent="0.25">
      <c r="B984" s="20"/>
      <c r="C984" s="21"/>
      <c r="D984" s="21"/>
      <c r="E984" s="21"/>
      <c r="F984" s="21"/>
      <c r="L984" s="21"/>
    </row>
    <row r="985" spans="2:12" x14ac:dyDescent="0.25">
      <c r="B985" s="20"/>
      <c r="C985" s="21"/>
      <c r="D985" s="21"/>
      <c r="E985" s="21"/>
      <c r="F985" s="21"/>
      <c r="L985" s="21"/>
    </row>
    <row r="986" spans="2:12" x14ac:dyDescent="0.25">
      <c r="B986" s="20"/>
      <c r="C986" s="21"/>
      <c r="D986" s="21"/>
      <c r="E986" s="21"/>
      <c r="F986" s="21"/>
      <c r="L986" s="21"/>
    </row>
    <row r="987" spans="2:12" x14ac:dyDescent="0.25">
      <c r="B987" s="20"/>
      <c r="C987" s="21"/>
      <c r="D987" s="21"/>
      <c r="E987" s="21"/>
      <c r="F987" s="21"/>
      <c r="L987" s="21"/>
    </row>
    <row r="988" spans="2:12" x14ac:dyDescent="0.25">
      <c r="B988" s="20"/>
      <c r="C988" s="21"/>
      <c r="D988" s="21"/>
      <c r="E988" s="21"/>
      <c r="F988" s="21"/>
      <c r="L988" s="21"/>
    </row>
    <row r="989" spans="2:12" x14ac:dyDescent="0.25">
      <c r="B989" s="20"/>
      <c r="C989" s="21"/>
      <c r="D989" s="21"/>
      <c r="E989" s="21"/>
      <c r="F989" s="21"/>
      <c r="L989" s="21"/>
    </row>
    <row r="990" spans="2:12" x14ac:dyDescent="0.25">
      <c r="B990" s="20"/>
      <c r="C990" s="21"/>
      <c r="D990" s="21"/>
      <c r="E990" s="21"/>
      <c r="F990" s="21"/>
      <c r="L990" s="21"/>
    </row>
    <row r="991" spans="2:12" x14ac:dyDescent="0.25">
      <c r="B991" s="20"/>
      <c r="C991" s="21"/>
      <c r="D991" s="21"/>
      <c r="E991" s="21"/>
      <c r="F991" s="21"/>
      <c r="L991" s="21"/>
    </row>
    <row r="992" spans="2:12" x14ac:dyDescent="0.25">
      <c r="B992" s="20"/>
      <c r="C992" s="21"/>
      <c r="D992" s="21"/>
      <c r="E992" s="21"/>
      <c r="F992" s="21"/>
      <c r="L992" s="21"/>
    </row>
    <row r="993" spans="2:12" x14ac:dyDescent="0.25">
      <c r="B993" s="20"/>
      <c r="C993" s="21"/>
      <c r="D993" s="21"/>
      <c r="E993" s="21"/>
      <c r="F993" s="21"/>
      <c r="L993" s="21"/>
    </row>
    <row r="994" spans="2:12" x14ac:dyDescent="0.25">
      <c r="B994" s="20"/>
      <c r="C994" s="21"/>
      <c r="D994" s="21"/>
      <c r="E994" s="21"/>
      <c r="F994" s="21"/>
      <c r="L994" s="21"/>
    </row>
    <row r="995" spans="2:12" x14ac:dyDescent="0.25">
      <c r="B995" s="20"/>
      <c r="C995" s="21"/>
      <c r="D995" s="21"/>
      <c r="E995" s="21"/>
      <c r="F995" s="21"/>
      <c r="L995" s="21"/>
    </row>
    <row r="996" spans="2:12" x14ac:dyDescent="0.25">
      <c r="B996" s="20"/>
      <c r="C996" s="21"/>
      <c r="D996" s="21"/>
      <c r="E996" s="21"/>
      <c r="F996" s="21"/>
      <c r="L996" s="21"/>
    </row>
    <row r="997" spans="2:12" x14ac:dyDescent="0.25">
      <c r="B997" s="20"/>
      <c r="C997" s="21"/>
      <c r="D997" s="21"/>
      <c r="E997" s="21"/>
      <c r="F997" s="21"/>
      <c r="L997" s="21"/>
    </row>
    <row r="998" spans="2:12" x14ac:dyDescent="0.25">
      <c r="B998" s="20"/>
      <c r="C998" s="21"/>
      <c r="D998" s="21"/>
      <c r="E998" s="21"/>
      <c r="F998" s="21"/>
      <c r="L998" s="21"/>
    </row>
    <row r="999" spans="2:12" x14ac:dyDescent="0.25">
      <c r="B999" s="20"/>
      <c r="C999" s="21"/>
      <c r="D999" s="21"/>
      <c r="E999" s="21"/>
      <c r="F999" s="21"/>
      <c r="L999" s="21"/>
    </row>
    <row r="1000" spans="2:12" x14ac:dyDescent="0.25">
      <c r="B1000" s="20"/>
      <c r="C1000" s="21"/>
      <c r="D1000" s="21"/>
      <c r="E1000" s="21"/>
      <c r="F1000" s="21"/>
      <c r="L1000" s="21"/>
    </row>
    <row r="1001" spans="2:12" x14ac:dyDescent="0.25">
      <c r="B1001" s="20"/>
      <c r="C1001" s="21"/>
      <c r="D1001" s="21"/>
      <c r="E1001" s="21"/>
      <c r="F1001" s="21"/>
      <c r="L1001" s="21"/>
    </row>
    <row r="1002" spans="2:12" x14ac:dyDescent="0.25">
      <c r="B1002" s="20"/>
      <c r="C1002" s="21"/>
      <c r="D1002" s="21"/>
      <c r="E1002" s="21"/>
      <c r="F1002" s="21"/>
      <c r="L1002" s="21"/>
    </row>
    <row r="1003" spans="2:12" x14ac:dyDescent="0.25">
      <c r="B1003" s="20"/>
      <c r="C1003" s="21"/>
      <c r="D1003" s="21"/>
      <c r="E1003" s="21"/>
      <c r="F1003" s="21"/>
      <c r="L1003" s="21"/>
    </row>
    <row r="1004" spans="2:12" x14ac:dyDescent="0.25">
      <c r="B1004" s="20"/>
      <c r="C1004" s="21"/>
      <c r="D1004" s="21"/>
      <c r="E1004" s="21"/>
      <c r="F1004" s="21"/>
      <c r="L1004" s="21"/>
    </row>
  </sheetData>
  <dataConsolidate function="count" leftLabels="1" topLabels="1" link="1">
    <dataRefs count="1">
      <dataRef ref="E1:E1048576" sheet="Q9"/>
    </dataRefs>
  </dataConsolidate>
  <dataValidations count="1">
    <dataValidation type="list" allowBlank="1" showInputMessage="1" showErrorMessage="1" sqref="M1:M1048576" xr:uid="{8C21D645-EFFE-4C5E-B7A4-1C17E0AF0157}">
      <formula1>$E:$E</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3E43A-2D1B-4D56-9D80-8170F37235F1}">
  <dimension ref="A2:N111"/>
  <sheetViews>
    <sheetView tabSelected="1" topLeftCell="A4" workbookViewId="0">
      <selection activeCell="C14" sqref="C14"/>
    </sheetView>
  </sheetViews>
  <sheetFormatPr defaultRowHeight="15" x14ac:dyDescent="0.25"/>
  <cols>
    <col min="1" max="1" width="14.140625" bestFit="1" customWidth="1"/>
    <col min="2" max="2" width="9.42578125" bestFit="1" customWidth="1"/>
    <col min="3" max="3" width="10.28515625" bestFit="1" customWidth="1"/>
    <col min="4" max="4" width="13.140625" bestFit="1" customWidth="1"/>
    <col min="5" max="5" width="16.85546875" bestFit="1" customWidth="1"/>
    <col min="6" max="6" width="11.140625" bestFit="1" customWidth="1"/>
    <col min="7" max="7" width="12.140625" bestFit="1" customWidth="1"/>
    <col min="8" max="8" width="8" bestFit="1" customWidth="1"/>
    <col min="9" max="9" width="12.28515625" bestFit="1" customWidth="1"/>
    <col min="10" max="10" width="9" bestFit="1" customWidth="1"/>
    <col min="11" max="11" width="19.28515625" bestFit="1" customWidth="1"/>
    <col min="12" max="12" width="11.140625" bestFit="1" customWidth="1"/>
    <col min="13" max="13" width="12" bestFit="1" customWidth="1"/>
    <col min="14" max="14" width="8" bestFit="1" customWidth="1"/>
  </cols>
  <sheetData>
    <row r="2" spans="1:14" ht="15.75" x14ac:dyDescent="0.25">
      <c r="A2" s="7" t="s">
        <v>469</v>
      </c>
    </row>
    <row r="3" spans="1:14" ht="15.75" x14ac:dyDescent="0.25">
      <c r="A3" s="7" t="s">
        <v>470</v>
      </c>
    </row>
    <row r="4" spans="1:14" ht="15.75" x14ac:dyDescent="0.25">
      <c r="A4" s="7" t="s">
        <v>471</v>
      </c>
      <c r="B4" s="7"/>
      <c r="C4" s="7"/>
      <c r="D4" s="7"/>
      <c r="E4" s="7"/>
      <c r="F4" s="7"/>
      <c r="G4" s="7"/>
      <c r="H4" s="7"/>
      <c r="I4" s="7"/>
      <c r="J4" s="7"/>
    </row>
    <row r="5" spans="1:14" ht="15.75" x14ac:dyDescent="0.25">
      <c r="A5" s="7" t="s">
        <v>472</v>
      </c>
      <c r="B5" s="7"/>
      <c r="C5" s="7"/>
      <c r="D5" s="7"/>
      <c r="E5" s="7"/>
      <c r="F5" s="7"/>
      <c r="G5" s="7"/>
      <c r="H5" s="7"/>
      <c r="I5" s="7"/>
      <c r="J5" s="7"/>
    </row>
    <row r="6" spans="1:14" ht="15.75" x14ac:dyDescent="0.25">
      <c r="A6" s="7" t="s">
        <v>473</v>
      </c>
      <c r="B6" s="7"/>
      <c r="C6" s="7"/>
      <c r="D6" s="7"/>
      <c r="E6" s="7"/>
      <c r="F6" s="7"/>
      <c r="G6" s="7"/>
      <c r="H6" s="7"/>
      <c r="I6" s="7"/>
      <c r="J6" s="7"/>
    </row>
    <row r="7" spans="1:14" ht="15.75" x14ac:dyDescent="0.25">
      <c r="A7" s="7" t="s">
        <v>474</v>
      </c>
      <c r="B7" s="7"/>
      <c r="C7" s="7"/>
      <c r="D7" s="7"/>
      <c r="E7" s="7"/>
      <c r="F7" s="7"/>
      <c r="G7" s="7"/>
      <c r="H7" s="7"/>
      <c r="I7" s="7"/>
      <c r="J7" s="7"/>
    </row>
    <row r="9" spans="1:14" ht="15.75" x14ac:dyDescent="0.25">
      <c r="A9" s="7" t="s">
        <v>24</v>
      </c>
    </row>
    <row r="11" spans="1:14" x14ac:dyDescent="0.25">
      <c r="A11" s="22" t="s">
        <v>331</v>
      </c>
      <c r="B11" s="22" t="s">
        <v>212</v>
      </c>
      <c r="C11" s="22" t="s">
        <v>332</v>
      </c>
      <c r="D11" s="22" t="s">
        <v>333</v>
      </c>
      <c r="E11" s="22" t="s">
        <v>334</v>
      </c>
      <c r="F11" s="22" t="s">
        <v>335</v>
      </c>
      <c r="G11" s="22" t="s">
        <v>196</v>
      </c>
      <c r="H11" s="22" t="s">
        <v>336</v>
      </c>
      <c r="I11" s="22" t="s">
        <v>337</v>
      </c>
      <c r="J11" s="22" t="s">
        <v>338</v>
      </c>
      <c r="K11" s="22" t="s">
        <v>339</v>
      </c>
      <c r="L11" s="22" t="s">
        <v>340</v>
      </c>
      <c r="M11" s="22" t="s">
        <v>341</v>
      </c>
      <c r="N11" s="22" t="s">
        <v>467</v>
      </c>
    </row>
    <row r="12" spans="1:14" x14ac:dyDescent="0.25">
      <c r="A12" s="21" t="s">
        <v>342</v>
      </c>
      <c r="B12" s="21" t="s">
        <v>343</v>
      </c>
      <c r="C12" s="21" t="s">
        <v>344</v>
      </c>
      <c r="D12" s="21" t="s">
        <v>345</v>
      </c>
      <c r="E12" s="21">
        <v>9515759149</v>
      </c>
      <c r="F12" s="21" t="s">
        <v>346</v>
      </c>
      <c r="G12" s="21" t="s">
        <v>347</v>
      </c>
      <c r="H12">
        <v>2439.81</v>
      </c>
      <c r="I12">
        <v>5</v>
      </c>
      <c r="J12">
        <v>3559.55</v>
      </c>
      <c r="K12" s="21" t="s">
        <v>225</v>
      </c>
      <c r="L12">
        <v>12199.05</v>
      </c>
      <c r="M12" s="23">
        <v>29.178911472614672</v>
      </c>
      <c r="N12" t="str">
        <f>IF(Sales_department[[#This Row],[Revenue]]&gt;10000,"High",IF(Sales_department[[#This Row],[Revenue]]&gt;5000,"Medium","Low"))</f>
        <v>High</v>
      </c>
    </row>
    <row r="13" spans="1:14" x14ac:dyDescent="0.25">
      <c r="A13" s="21" t="s">
        <v>348</v>
      </c>
      <c r="B13" s="21" t="s">
        <v>343</v>
      </c>
      <c r="C13" s="21" t="s">
        <v>344</v>
      </c>
      <c r="D13" s="21" t="s">
        <v>345</v>
      </c>
      <c r="E13" s="21">
        <v>9720381947</v>
      </c>
      <c r="F13" s="21" t="s">
        <v>349</v>
      </c>
      <c r="G13" s="21" t="s">
        <v>350</v>
      </c>
      <c r="H13">
        <v>1621.43</v>
      </c>
      <c r="I13">
        <v>13</v>
      </c>
      <c r="J13">
        <v>4029.57</v>
      </c>
      <c r="K13" s="21" t="s">
        <v>351</v>
      </c>
      <c r="L13">
        <v>21078.59</v>
      </c>
      <c r="M13" s="23">
        <v>19.116885901760984</v>
      </c>
      <c r="N13" t="str">
        <f>IF(Sales_department[[#This Row],[Revenue]]&gt;10000,"High",IF(Sales_department[[#This Row],[Revenue]]&gt;5000,"Medium","Low"))</f>
        <v>High</v>
      </c>
    </row>
    <row r="14" spans="1:14" x14ac:dyDescent="0.25">
      <c r="A14" s="21" t="s">
        <v>352</v>
      </c>
      <c r="B14" s="21" t="s">
        <v>353</v>
      </c>
      <c r="C14" s="21" t="s">
        <v>344</v>
      </c>
      <c r="D14" s="21" t="s">
        <v>354</v>
      </c>
      <c r="E14" s="21">
        <v>9483465530</v>
      </c>
      <c r="F14" s="21" t="s">
        <v>346</v>
      </c>
      <c r="G14" s="21" t="s">
        <v>355</v>
      </c>
      <c r="H14">
        <v>1363.73</v>
      </c>
      <c r="I14">
        <v>1</v>
      </c>
      <c r="J14">
        <v>362.2</v>
      </c>
      <c r="K14" s="21" t="s">
        <v>351</v>
      </c>
      <c r="L14">
        <v>1363.73</v>
      </c>
      <c r="M14" s="23">
        <v>26.559509580342151</v>
      </c>
      <c r="N14" t="str">
        <f>IF(Sales_department[[#This Row],[Revenue]]&gt;10000,"High",IF(Sales_department[[#This Row],[Revenue]]&gt;5000,"Medium","Low"))</f>
        <v>Low</v>
      </c>
    </row>
    <row r="15" spans="1:14" x14ac:dyDescent="0.25">
      <c r="A15" s="21" t="s">
        <v>356</v>
      </c>
      <c r="B15" s="21" t="s">
        <v>353</v>
      </c>
      <c r="C15" s="21" t="s">
        <v>344</v>
      </c>
      <c r="D15" s="21" t="s">
        <v>354</v>
      </c>
      <c r="E15" s="21">
        <v>9350165589</v>
      </c>
      <c r="F15" s="21" t="s">
        <v>349</v>
      </c>
      <c r="G15" s="21" t="s">
        <v>357</v>
      </c>
      <c r="H15">
        <v>1172.93</v>
      </c>
      <c r="I15">
        <v>5</v>
      </c>
      <c r="J15">
        <v>1542.65</v>
      </c>
      <c r="K15" s="21" t="s">
        <v>358</v>
      </c>
      <c r="L15">
        <v>5864.6500000000005</v>
      </c>
      <c r="M15" s="23">
        <v>26.304212527601816</v>
      </c>
      <c r="N15" t="str">
        <f>IF(Sales_department[[#This Row],[Revenue]]&gt;10000,"High",IF(Sales_department[[#This Row],[Revenue]]&gt;5000,"Medium","Low"))</f>
        <v>Medium</v>
      </c>
    </row>
    <row r="16" spans="1:14" x14ac:dyDescent="0.25">
      <c r="A16" s="21" t="s">
        <v>359</v>
      </c>
      <c r="B16" s="21" t="s">
        <v>353</v>
      </c>
      <c r="C16" s="21" t="s">
        <v>344</v>
      </c>
      <c r="D16" s="21" t="s">
        <v>345</v>
      </c>
      <c r="E16" s="21">
        <v>9621991901</v>
      </c>
      <c r="F16" s="21" t="s">
        <v>346</v>
      </c>
      <c r="G16" s="21" t="s">
        <v>237</v>
      </c>
      <c r="H16">
        <v>2457.56</v>
      </c>
      <c r="I16">
        <v>13</v>
      </c>
      <c r="J16">
        <v>6972.71</v>
      </c>
      <c r="K16" s="21" t="s">
        <v>225</v>
      </c>
      <c r="L16">
        <v>31948.28</v>
      </c>
      <c r="M16" s="23">
        <v>21.8249933955756</v>
      </c>
      <c r="N16" t="str">
        <f>IF(Sales_department[[#This Row],[Revenue]]&gt;10000,"High",IF(Sales_department[[#This Row],[Revenue]]&gt;5000,"Medium","Low"))</f>
        <v>High</v>
      </c>
    </row>
    <row r="17" spans="1:14" x14ac:dyDescent="0.25">
      <c r="A17" s="21" t="s">
        <v>360</v>
      </c>
      <c r="B17" s="21" t="s">
        <v>353</v>
      </c>
      <c r="C17" s="21" t="s">
        <v>344</v>
      </c>
      <c r="D17" s="21" t="s">
        <v>354</v>
      </c>
      <c r="E17" s="21">
        <v>9734105442</v>
      </c>
      <c r="F17" s="21" t="s">
        <v>346</v>
      </c>
      <c r="G17" s="21" t="s">
        <v>245</v>
      </c>
      <c r="H17">
        <v>2661.44</v>
      </c>
      <c r="I17">
        <v>7</v>
      </c>
      <c r="J17">
        <v>2581.67</v>
      </c>
      <c r="K17" s="21" t="s">
        <v>351</v>
      </c>
      <c r="L17">
        <v>18630.080000000002</v>
      </c>
      <c r="M17" s="23">
        <v>13.857535770109413</v>
      </c>
      <c r="N17" t="str">
        <f>IF(Sales_department[[#This Row],[Revenue]]&gt;10000,"High",IF(Sales_department[[#This Row],[Revenue]]&gt;5000,"Medium","Low"))</f>
        <v>High</v>
      </c>
    </row>
    <row r="18" spans="1:14" x14ac:dyDescent="0.25">
      <c r="A18" s="21" t="s">
        <v>361</v>
      </c>
      <c r="B18" s="21" t="s">
        <v>362</v>
      </c>
      <c r="C18" s="21" t="s">
        <v>344</v>
      </c>
      <c r="D18" s="21" t="s">
        <v>363</v>
      </c>
      <c r="E18" s="21">
        <v>9117390999</v>
      </c>
      <c r="F18" s="21" t="s">
        <v>346</v>
      </c>
      <c r="G18" s="21" t="s">
        <v>355</v>
      </c>
      <c r="H18">
        <v>1400.82</v>
      </c>
      <c r="I18">
        <v>6</v>
      </c>
      <c r="J18">
        <v>994.44</v>
      </c>
      <c r="K18" s="21" t="s">
        <v>241</v>
      </c>
      <c r="L18">
        <v>8404.92</v>
      </c>
      <c r="M18" s="23">
        <v>11.831641467140676</v>
      </c>
      <c r="N18" t="str">
        <f>IF(Sales_department[[#This Row],[Revenue]]&gt;10000,"High",IF(Sales_department[[#This Row],[Revenue]]&gt;5000,"Medium","Low"))</f>
        <v>Medium</v>
      </c>
    </row>
    <row r="19" spans="1:14" x14ac:dyDescent="0.25">
      <c r="A19" s="21" t="s">
        <v>364</v>
      </c>
      <c r="B19" s="21" t="s">
        <v>343</v>
      </c>
      <c r="C19" s="21" t="s">
        <v>344</v>
      </c>
      <c r="D19" s="21" t="s">
        <v>345</v>
      </c>
      <c r="E19" s="21">
        <v>9513032833</v>
      </c>
      <c r="F19" s="21" t="s">
        <v>349</v>
      </c>
      <c r="G19" s="21" t="s">
        <v>365</v>
      </c>
      <c r="H19">
        <v>416.18</v>
      </c>
      <c r="I19">
        <v>3</v>
      </c>
      <c r="J19">
        <v>327.88</v>
      </c>
      <c r="K19" s="21" t="s">
        <v>351</v>
      </c>
      <c r="L19">
        <v>1248.54</v>
      </c>
      <c r="M19" s="23">
        <v>26.261072933185964</v>
      </c>
      <c r="N19" t="str">
        <f>IF(Sales_department[[#This Row],[Revenue]]&gt;10000,"High",IF(Sales_department[[#This Row],[Revenue]]&gt;5000,"Medium","Low"))</f>
        <v>Low</v>
      </c>
    </row>
    <row r="20" spans="1:14" x14ac:dyDescent="0.25">
      <c r="A20" s="21" t="s">
        <v>366</v>
      </c>
      <c r="B20" s="21" t="s">
        <v>353</v>
      </c>
      <c r="C20" s="21" t="s">
        <v>344</v>
      </c>
      <c r="D20" s="21" t="s">
        <v>367</v>
      </c>
      <c r="E20" s="21">
        <v>95543976868</v>
      </c>
      <c r="F20" s="21" t="s">
        <v>349</v>
      </c>
      <c r="G20" s="21" t="s">
        <v>365</v>
      </c>
      <c r="H20">
        <v>1290.47</v>
      </c>
      <c r="I20">
        <v>6</v>
      </c>
      <c r="J20">
        <v>1045.43</v>
      </c>
      <c r="K20" s="21" t="s">
        <v>351</v>
      </c>
      <c r="L20">
        <v>7742.82</v>
      </c>
      <c r="M20" s="23">
        <v>13.501928238032141</v>
      </c>
      <c r="N20" t="str">
        <f>IF(Sales_department[[#This Row],[Revenue]]&gt;10000,"High",IF(Sales_department[[#This Row],[Revenue]]&gt;5000,"Medium","Low"))</f>
        <v>Medium</v>
      </c>
    </row>
    <row r="21" spans="1:14" x14ac:dyDescent="0.25">
      <c r="A21" s="21" t="s">
        <v>368</v>
      </c>
      <c r="B21" s="21" t="s">
        <v>343</v>
      </c>
      <c r="C21" s="21" t="s">
        <v>344</v>
      </c>
      <c r="D21" s="21" t="s">
        <v>369</v>
      </c>
      <c r="E21" s="21">
        <v>9866250123</v>
      </c>
      <c r="F21" s="21" t="s">
        <v>346</v>
      </c>
      <c r="G21" s="21" t="s">
        <v>355</v>
      </c>
      <c r="H21">
        <v>2519.94</v>
      </c>
      <c r="I21">
        <v>15</v>
      </c>
      <c r="J21">
        <v>11123.31</v>
      </c>
      <c r="K21" s="21" t="s">
        <v>358</v>
      </c>
      <c r="L21">
        <v>37799.1</v>
      </c>
      <c r="M21" s="23">
        <v>29.427446685238539</v>
      </c>
      <c r="N21" t="str">
        <f>IF(Sales_department[[#This Row],[Revenue]]&gt;10000,"High",IF(Sales_department[[#This Row],[Revenue]]&gt;5000,"Medium","Low"))</f>
        <v>High</v>
      </c>
    </row>
    <row r="22" spans="1:14" x14ac:dyDescent="0.25">
      <c r="A22" s="21" t="s">
        <v>370</v>
      </c>
      <c r="B22" s="21" t="s">
        <v>353</v>
      </c>
      <c r="C22" s="21" t="s">
        <v>344</v>
      </c>
      <c r="D22" s="21" t="s">
        <v>371</v>
      </c>
      <c r="E22" s="21">
        <v>9884314044</v>
      </c>
      <c r="F22" s="21" t="s">
        <v>346</v>
      </c>
      <c r="G22" s="21" t="s">
        <v>355</v>
      </c>
      <c r="H22">
        <v>2814.97</v>
      </c>
      <c r="I22">
        <v>1</v>
      </c>
      <c r="J22">
        <v>716.15</v>
      </c>
      <c r="K22" s="21" t="s">
        <v>351</v>
      </c>
      <c r="L22">
        <v>2814.97</v>
      </c>
      <c r="M22" s="23">
        <v>25.440768462896585</v>
      </c>
      <c r="N22" t="str">
        <f>IF(Sales_department[[#This Row],[Revenue]]&gt;10000,"High",IF(Sales_department[[#This Row],[Revenue]]&gt;5000,"Medium","Low"))</f>
        <v>Low</v>
      </c>
    </row>
    <row r="23" spans="1:14" x14ac:dyDescent="0.25">
      <c r="A23" s="21" t="s">
        <v>372</v>
      </c>
      <c r="B23" s="21" t="s">
        <v>362</v>
      </c>
      <c r="C23" s="21" t="s">
        <v>344</v>
      </c>
      <c r="D23" s="21" t="s">
        <v>354</v>
      </c>
      <c r="E23" s="21">
        <v>9192128284</v>
      </c>
      <c r="F23" s="21" t="s">
        <v>346</v>
      </c>
      <c r="G23" s="21" t="s">
        <v>237</v>
      </c>
      <c r="H23">
        <v>841.72</v>
      </c>
      <c r="I23">
        <v>13</v>
      </c>
      <c r="J23">
        <v>2130.1799999999998</v>
      </c>
      <c r="K23" s="21" t="s">
        <v>241</v>
      </c>
      <c r="L23">
        <v>10942.36</v>
      </c>
      <c r="M23" s="23">
        <v>19.467281281186143</v>
      </c>
      <c r="N23" t="str">
        <f>IF(Sales_department[[#This Row],[Revenue]]&gt;10000,"High",IF(Sales_department[[#This Row],[Revenue]]&gt;5000,"Medium","Low"))</f>
        <v>High</v>
      </c>
    </row>
    <row r="24" spans="1:14" x14ac:dyDescent="0.25">
      <c r="A24" s="21" t="s">
        <v>373</v>
      </c>
      <c r="B24" s="21" t="s">
        <v>374</v>
      </c>
      <c r="C24" s="21" t="s">
        <v>344</v>
      </c>
      <c r="D24" s="21" t="s">
        <v>354</v>
      </c>
      <c r="E24" s="21">
        <v>9731590483</v>
      </c>
      <c r="F24" s="21" t="s">
        <v>223</v>
      </c>
      <c r="G24" s="21" t="s">
        <v>281</v>
      </c>
      <c r="H24">
        <v>1169.28</v>
      </c>
      <c r="I24">
        <v>2</v>
      </c>
      <c r="J24">
        <v>273.95</v>
      </c>
      <c r="K24" s="21" t="s">
        <v>225</v>
      </c>
      <c r="L24">
        <v>2338.56</v>
      </c>
      <c r="M24" s="23">
        <v>11.714473864258347</v>
      </c>
      <c r="N24" t="str">
        <f>IF(Sales_department[[#This Row],[Revenue]]&gt;10000,"High",IF(Sales_department[[#This Row],[Revenue]]&gt;5000,"Medium","Low"))</f>
        <v>Low</v>
      </c>
    </row>
    <row r="25" spans="1:14" x14ac:dyDescent="0.25">
      <c r="A25" s="21" t="s">
        <v>375</v>
      </c>
      <c r="B25" s="21" t="s">
        <v>343</v>
      </c>
      <c r="C25" s="21" t="s">
        <v>344</v>
      </c>
      <c r="D25" s="21" t="s">
        <v>345</v>
      </c>
      <c r="E25" s="21">
        <v>9245312903</v>
      </c>
      <c r="F25" s="21" t="s">
        <v>349</v>
      </c>
      <c r="G25" s="21" t="s">
        <v>285</v>
      </c>
      <c r="H25">
        <v>2320.0300000000002</v>
      </c>
      <c r="I25">
        <v>3</v>
      </c>
      <c r="J25">
        <v>1260.55</v>
      </c>
      <c r="K25" s="21" t="s">
        <v>225</v>
      </c>
      <c r="L25">
        <v>6960.09</v>
      </c>
      <c r="M25" s="23">
        <v>18.111116379242219</v>
      </c>
      <c r="N25" t="str">
        <f>IF(Sales_department[[#This Row],[Revenue]]&gt;10000,"High",IF(Sales_department[[#This Row],[Revenue]]&gt;5000,"Medium","Low"))</f>
        <v>Medium</v>
      </c>
    </row>
    <row r="26" spans="1:14" x14ac:dyDescent="0.25">
      <c r="A26" s="21" t="s">
        <v>376</v>
      </c>
      <c r="B26" s="21" t="s">
        <v>374</v>
      </c>
      <c r="C26" s="21" t="s">
        <v>344</v>
      </c>
      <c r="D26" s="21" t="s">
        <v>354</v>
      </c>
      <c r="E26" s="21">
        <v>9587137236</v>
      </c>
      <c r="F26" s="21" t="s">
        <v>346</v>
      </c>
      <c r="G26" s="21" t="s">
        <v>355</v>
      </c>
      <c r="H26">
        <v>1780.66</v>
      </c>
      <c r="I26">
        <v>11</v>
      </c>
      <c r="J26">
        <v>2826.93</v>
      </c>
      <c r="K26" s="21" t="s">
        <v>241</v>
      </c>
      <c r="L26">
        <v>19587.260000000002</v>
      </c>
      <c r="M26" s="23">
        <v>14.432493365585589</v>
      </c>
      <c r="N26" t="str">
        <f>IF(Sales_department[[#This Row],[Revenue]]&gt;10000,"High",IF(Sales_department[[#This Row],[Revenue]]&gt;5000,"Medium","Low"))</f>
        <v>High</v>
      </c>
    </row>
    <row r="27" spans="1:14" x14ac:dyDescent="0.25">
      <c r="A27" s="21" t="s">
        <v>377</v>
      </c>
      <c r="B27" s="21" t="s">
        <v>374</v>
      </c>
      <c r="C27" s="21" t="s">
        <v>344</v>
      </c>
      <c r="D27" s="21" t="s">
        <v>363</v>
      </c>
      <c r="E27" s="21">
        <v>9161819590</v>
      </c>
      <c r="F27" s="21" t="s">
        <v>223</v>
      </c>
      <c r="G27" s="21" t="s">
        <v>378</v>
      </c>
      <c r="H27">
        <v>2672</v>
      </c>
      <c r="I27">
        <v>15</v>
      </c>
      <c r="J27">
        <v>4719.91</v>
      </c>
      <c r="K27" s="21" t="s">
        <v>358</v>
      </c>
      <c r="L27">
        <v>40080</v>
      </c>
      <c r="M27" s="23">
        <v>11.776222554890218</v>
      </c>
      <c r="N27" t="str">
        <f>IF(Sales_department[[#This Row],[Revenue]]&gt;10000,"High",IF(Sales_department[[#This Row],[Revenue]]&gt;5000,"Medium","Low"))</f>
        <v>High</v>
      </c>
    </row>
    <row r="28" spans="1:14" x14ac:dyDescent="0.25">
      <c r="A28" s="21" t="s">
        <v>379</v>
      </c>
      <c r="B28" s="21" t="s">
        <v>353</v>
      </c>
      <c r="C28" s="21" t="s">
        <v>344</v>
      </c>
      <c r="D28" s="21" t="s">
        <v>354</v>
      </c>
      <c r="E28" s="21">
        <v>9551484924</v>
      </c>
      <c r="F28" s="21" t="s">
        <v>346</v>
      </c>
      <c r="G28" s="21" t="s">
        <v>380</v>
      </c>
      <c r="H28">
        <v>824.49</v>
      </c>
      <c r="I28">
        <v>9</v>
      </c>
      <c r="J28">
        <v>1403.14</v>
      </c>
      <c r="K28" s="21" t="s">
        <v>381</v>
      </c>
      <c r="L28">
        <v>7420.41</v>
      </c>
      <c r="M28" s="23">
        <v>18.909197739747537</v>
      </c>
      <c r="N28" t="str">
        <f>IF(Sales_department[[#This Row],[Revenue]]&gt;10000,"High",IF(Sales_department[[#This Row],[Revenue]]&gt;5000,"Medium","Low"))</f>
        <v>Medium</v>
      </c>
    </row>
    <row r="29" spans="1:14" x14ac:dyDescent="0.25">
      <c r="A29" s="21" t="s">
        <v>382</v>
      </c>
      <c r="B29" s="21" t="s">
        <v>362</v>
      </c>
      <c r="C29" s="21" t="s">
        <v>344</v>
      </c>
      <c r="D29" s="21" t="s">
        <v>383</v>
      </c>
      <c r="E29" s="21">
        <v>91682255459</v>
      </c>
      <c r="F29" s="21" t="s">
        <v>223</v>
      </c>
      <c r="G29" s="21" t="s">
        <v>253</v>
      </c>
      <c r="H29">
        <v>2896.96</v>
      </c>
      <c r="I29">
        <v>7</v>
      </c>
      <c r="J29">
        <v>3528.3</v>
      </c>
      <c r="K29" s="21" t="s">
        <v>351</v>
      </c>
      <c r="L29">
        <v>20278.72</v>
      </c>
      <c r="M29" s="23">
        <v>17.399027157532625</v>
      </c>
      <c r="N29" t="str">
        <f>IF(Sales_department[[#This Row],[Revenue]]&gt;10000,"High",IF(Sales_department[[#This Row],[Revenue]]&gt;5000,"Medium","Low"))</f>
        <v>High</v>
      </c>
    </row>
    <row r="30" spans="1:14" x14ac:dyDescent="0.25">
      <c r="A30" s="21" t="s">
        <v>384</v>
      </c>
      <c r="B30" s="21" t="s">
        <v>353</v>
      </c>
      <c r="C30" s="21" t="s">
        <v>344</v>
      </c>
      <c r="D30" s="21" t="s">
        <v>367</v>
      </c>
      <c r="E30" s="21">
        <v>9277023818</v>
      </c>
      <c r="F30" s="21" t="s">
        <v>223</v>
      </c>
      <c r="G30" s="21" t="s">
        <v>378</v>
      </c>
      <c r="H30">
        <v>1235.32</v>
      </c>
      <c r="I30">
        <v>9</v>
      </c>
      <c r="J30">
        <v>2542.0700000000002</v>
      </c>
      <c r="K30" s="21" t="s">
        <v>381</v>
      </c>
      <c r="L30">
        <v>11117.88</v>
      </c>
      <c r="M30" s="23">
        <v>22.864700824257866</v>
      </c>
      <c r="N30" t="str">
        <f>IF(Sales_department[[#This Row],[Revenue]]&gt;10000,"High",IF(Sales_department[[#This Row],[Revenue]]&gt;5000,"Medium","Low"))</f>
        <v>High</v>
      </c>
    </row>
    <row r="31" spans="1:14" x14ac:dyDescent="0.25">
      <c r="A31" s="21" t="s">
        <v>385</v>
      </c>
      <c r="B31" s="21" t="s">
        <v>362</v>
      </c>
      <c r="C31" s="21" t="s">
        <v>344</v>
      </c>
      <c r="D31" s="21" t="s">
        <v>369</v>
      </c>
      <c r="E31" s="21">
        <v>9670448490</v>
      </c>
      <c r="F31" s="21" t="s">
        <v>349</v>
      </c>
      <c r="G31" s="21" t="s">
        <v>350</v>
      </c>
      <c r="H31">
        <v>2168.33</v>
      </c>
      <c r="I31">
        <v>3</v>
      </c>
      <c r="J31">
        <v>1394.93</v>
      </c>
      <c r="K31" s="21" t="s">
        <v>358</v>
      </c>
      <c r="L31">
        <v>6504.99</v>
      </c>
      <c r="M31" s="23">
        <v>21.443999145271555</v>
      </c>
      <c r="N31" t="str">
        <f>IF(Sales_department[[#This Row],[Revenue]]&gt;10000,"High",IF(Sales_department[[#This Row],[Revenue]]&gt;5000,"Medium","Low"))</f>
        <v>Medium</v>
      </c>
    </row>
    <row r="32" spans="1:14" x14ac:dyDescent="0.25">
      <c r="A32" s="21" t="s">
        <v>386</v>
      </c>
      <c r="B32" s="21" t="s">
        <v>362</v>
      </c>
      <c r="C32" s="21" t="s">
        <v>344</v>
      </c>
      <c r="D32" s="21" t="s">
        <v>354</v>
      </c>
      <c r="E32" s="21">
        <v>9123788207</v>
      </c>
      <c r="F32" s="21" t="s">
        <v>346</v>
      </c>
      <c r="G32" s="21" t="s">
        <v>380</v>
      </c>
      <c r="H32">
        <v>2654.54</v>
      </c>
      <c r="I32">
        <v>5</v>
      </c>
      <c r="J32">
        <v>3308.52</v>
      </c>
      <c r="K32" s="21" t="s">
        <v>381</v>
      </c>
      <c r="L32">
        <v>13272.7</v>
      </c>
      <c r="M32" s="23">
        <v>24.92725669984253</v>
      </c>
      <c r="N32" t="str">
        <f>IF(Sales_department[[#This Row],[Revenue]]&gt;10000,"High",IF(Sales_department[[#This Row],[Revenue]]&gt;5000,"Medium","Low"))</f>
        <v>High</v>
      </c>
    </row>
    <row r="33" spans="1:14" x14ac:dyDescent="0.25">
      <c r="A33" s="21" t="s">
        <v>387</v>
      </c>
      <c r="B33" s="21" t="s">
        <v>343</v>
      </c>
      <c r="C33" s="21" t="s">
        <v>344</v>
      </c>
      <c r="D33" s="21" t="s">
        <v>363</v>
      </c>
      <c r="E33" s="21">
        <v>99831923457</v>
      </c>
      <c r="F33" s="21" t="s">
        <v>223</v>
      </c>
      <c r="G33" s="21" t="s">
        <v>240</v>
      </c>
      <c r="H33">
        <v>1313.77</v>
      </c>
      <c r="I33">
        <v>7</v>
      </c>
      <c r="J33">
        <v>2435.5500000000002</v>
      </c>
      <c r="K33" s="21" t="s">
        <v>358</v>
      </c>
      <c r="L33">
        <v>9196.39</v>
      </c>
      <c r="M33" s="23">
        <v>26.483761562961121</v>
      </c>
      <c r="N33" t="str">
        <f>IF(Sales_department[[#This Row],[Revenue]]&gt;10000,"High",IF(Sales_department[[#This Row],[Revenue]]&gt;5000,"Medium","Low"))</f>
        <v>Medium</v>
      </c>
    </row>
    <row r="34" spans="1:14" x14ac:dyDescent="0.25">
      <c r="A34" s="21" t="s">
        <v>388</v>
      </c>
      <c r="B34" s="21" t="s">
        <v>362</v>
      </c>
      <c r="C34" s="21" t="s">
        <v>344</v>
      </c>
      <c r="D34" s="21" t="s">
        <v>369</v>
      </c>
      <c r="E34" s="21">
        <v>9822358874</v>
      </c>
      <c r="F34" s="21" t="s">
        <v>223</v>
      </c>
      <c r="G34" s="21" t="s">
        <v>253</v>
      </c>
      <c r="H34">
        <v>1602.24</v>
      </c>
      <c r="I34">
        <v>13</v>
      </c>
      <c r="J34">
        <v>3082.85</v>
      </c>
      <c r="K34" s="21" t="s">
        <v>381</v>
      </c>
      <c r="L34">
        <v>20829.12</v>
      </c>
      <c r="M34" s="23">
        <v>14.8006732881658</v>
      </c>
      <c r="N34" t="str">
        <f>IF(Sales_department[[#This Row],[Revenue]]&gt;10000,"High",IF(Sales_department[[#This Row],[Revenue]]&gt;5000,"Medium","Low"))</f>
        <v>High</v>
      </c>
    </row>
    <row r="35" spans="1:14" x14ac:dyDescent="0.25">
      <c r="A35" s="21" t="s">
        <v>389</v>
      </c>
      <c r="B35" s="21" t="s">
        <v>343</v>
      </c>
      <c r="C35" s="21" t="s">
        <v>344</v>
      </c>
      <c r="D35" s="21" t="s">
        <v>383</v>
      </c>
      <c r="E35" s="21">
        <v>9497595031</v>
      </c>
      <c r="F35" s="21" t="s">
        <v>349</v>
      </c>
      <c r="G35" s="21" t="s">
        <v>357</v>
      </c>
      <c r="H35">
        <v>592.33000000000004</v>
      </c>
      <c r="I35">
        <v>4</v>
      </c>
      <c r="J35">
        <v>539.64</v>
      </c>
      <c r="K35" s="21" t="s">
        <v>351</v>
      </c>
      <c r="L35">
        <v>2369.3200000000002</v>
      </c>
      <c r="M35" s="23">
        <v>22.776155183765802</v>
      </c>
      <c r="N35" t="str">
        <f>IF(Sales_department[[#This Row],[Revenue]]&gt;10000,"High",IF(Sales_department[[#This Row],[Revenue]]&gt;5000,"Medium","Low"))</f>
        <v>Low</v>
      </c>
    </row>
    <row r="36" spans="1:14" x14ac:dyDescent="0.25">
      <c r="A36" s="21" t="s">
        <v>390</v>
      </c>
      <c r="B36" s="21" t="s">
        <v>353</v>
      </c>
      <c r="C36" s="21" t="s">
        <v>344</v>
      </c>
      <c r="D36" s="21" t="s">
        <v>371</v>
      </c>
      <c r="E36" s="21">
        <v>9781615192</v>
      </c>
      <c r="F36" s="21" t="s">
        <v>223</v>
      </c>
      <c r="G36" s="21" t="s">
        <v>378</v>
      </c>
      <c r="H36">
        <v>589.14</v>
      </c>
      <c r="I36">
        <v>8</v>
      </c>
      <c r="J36">
        <v>1252.56</v>
      </c>
      <c r="K36" s="21" t="s">
        <v>358</v>
      </c>
      <c r="L36">
        <v>4713.12</v>
      </c>
      <c r="M36" s="23">
        <v>26.576026071901417</v>
      </c>
      <c r="N36" t="str">
        <f>IF(Sales_department[[#This Row],[Revenue]]&gt;10000,"High",IF(Sales_department[[#This Row],[Revenue]]&gt;5000,"Medium","Low"))</f>
        <v>Low</v>
      </c>
    </row>
    <row r="37" spans="1:14" x14ac:dyDescent="0.25">
      <c r="A37" s="21" t="s">
        <v>391</v>
      </c>
      <c r="B37" s="21" t="s">
        <v>374</v>
      </c>
      <c r="C37" s="21" t="s">
        <v>344</v>
      </c>
      <c r="D37" s="21" t="s">
        <v>383</v>
      </c>
      <c r="E37" s="21">
        <v>9310431691</v>
      </c>
      <c r="F37" s="21" t="s">
        <v>349</v>
      </c>
      <c r="G37" s="21" t="s">
        <v>365</v>
      </c>
      <c r="H37">
        <v>2354.6</v>
      </c>
      <c r="I37">
        <v>4</v>
      </c>
      <c r="J37">
        <v>2575.4299999999998</v>
      </c>
      <c r="K37" s="21" t="s">
        <v>225</v>
      </c>
      <c r="L37">
        <v>9418.4</v>
      </c>
      <c r="M37" s="23">
        <v>27.344665760638748</v>
      </c>
      <c r="N37" t="str">
        <f>IF(Sales_department[[#This Row],[Revenue]]&gt;10000,"High",IF(Sales_department[[#This Row],[Revenue]]&gt;5000,"Medium","Low"))</f>
        <v>Medium</v>
      </c>
    </row>
    <row r="38" spans="1:14" x14ac:dyDescent="0.25">
      <c r="A38" s="21" t="s">
        <v>392</v>
      </c>
      <c r="B38" s="21" t="s">
        <v>362</v>
      </c>
      <c r="C38" s="21" t="s">
        <v>344</v>
      </c>
      <c r="D38" s="21" t="s">
        <v>383</v>
      </c>
      <c r="E38" s="21">
        <v>9375633062</v>
      </c>
      <c r="F38" s="21" t="s">
        <v>223</v>
      </c>
      <c r="G38" s="21" t="s">
        <v>247</v>
      </c>
      <c r="H38">
        <v>1920.55</v>
      </c>
      <c r="I38">
        <v>6</v>
      </c>
      <c r="J38">
        <v>2254.59</v>
      </c>
      <c r="K38" s="21" t="s">
        <v>225</v>
      </c>
      <c r="L38">
        <v>11523.3</v>
      </c>
      <c r="M38" s="23">
        <v>19.565489052615138</v>
      </c>
      <c r="N38" t="str">
        <f>IF(Sales_department[[#This Row],[Revenue]]&gt;10000,"High",IF(Sales_department[[#This Row],[Revenue]]&gt;5000,"Medium","Low"))</f>
        <v>High</v>
      </c>
    </row>
    <row r="39" spans="1:14" x14ac:dyDescent="0.25">
      <c r="A39" s="21" t="s">
        <v>393</v>
      </c>
      <c r="B39" s="21" t="s">
        <v>362</v>
      </c>
      <c r="C39" s="21" t="s">
        <v>344</v>
      </c>
      <c r="D39" s="21" t="s">
        <v>354</v>
      </c>
      <c r="E39" s="21">
        <v>9958467371</v>
      </c>
      <c r="F39" s="21" t="s">
        <v>346</v>
      </c>
      <c r="G39" s="21" t="s">
        <v>245</v>
      </c>
      <c r="H39">
        <v>1086.4100000000001</v>
      </c>
      <c r="I39">
        <v>7</v>
      </c>
      <c r="J39">
        <v>2066.7600000000002</v>
      </c>
      <c r="K39" s="21" t="s">
        <v>225</v>
      </c>
      <c r="L39">
        <v>7604.8700000000008</v>
      </c>
      <c r="M39" s="23">
        <v>27.176795921560785</v>
      </c>
      <c r="N39" t="str">
        <f>IF(Sales_department[[#This Row],[Revenue]]&gt;10000,"High",IF(Sales_department[[#This Row],[Revenue]]&gt;5000,"Medium","Low"))</f>
        <v>Medium</v>
      </c>
    </row>
    <row r="40" spans="1:14" x14ac:dyDescent="0.25">
      <c r="A40" s="21" t="s">
        <v>394</v>
      </c>
      <c r="B40" s="21" t="s">
        <v>362</v>
      </c>
      <c r="C40" s="21" t="s">
        <v>344</v>
      </c>
      <c r="D40" s="21" t="s">
        <v>354</v>
      </c>
      <c r="E40" s="21">
        <v>9485913642</v>
      </c>
      <c r="F40" s="21" t="s">
        <v>349</v>
      </c>
      <c r="G40" s="21" t="s">
        <v>285</v>
      </c>
      <c r="H40">
        <v>1181.07</v>
      </c>
      <c r="I40">
        <v>13</v>
      </c>
      <c r="J40">
        <v>3821.07</v>
      </c>
      <c r="K40" s="21" t="s">
        <v>358</v>
      </c>
      <c r="L40">
        <v>15353.91</v>
      </c>
      <c r="M40" s="23">
        <v>24.886624970447269</v>
      </c>
      <c r="N40" t="str">
        <f>IF(Sales_department[[#This Row],[Revenue]]&gt;10000,"High",IF(Sales_department[[#This Row],[Revenue]]&gt;5000,"Medium","Low"))</f>
        <v>High</v>
      </c>
    </row>
    <row r="41" spans="1:14" x14ac:dyDescent="0.25">
      <c r="A41" s="21" t="s">
        <v>395</v>
      </c>
      <c r="B41" s="21" t="s">
        <v>362</v>
      </c>
      <c r="C41" s="21" t="s">
        <v>344</v>
      </c>
      <c r="D41" s="21" t="s">
        <v>383</v>
      </c>
      <c r="E41" s="21">
        <v>9942727052</v>
      </c>
      <c r="F41" s="21" t="s">
        <v>349</v>
      </c>
      <c r="G41" s="21" t="s">
        <v>396</v>
      </c>
      <c r="H41">
        <v>2521.1999999999998</v>
      </c>
      <c r="I41">
        <v>8</v>
      </c>
      <c r="J41">
        <v>6046.68</v>
      </c>
      <c r="K41" s="21" t="s">
        <v>225</v>
      </c>
      <c r="L41">
        <v>20169.599999999999</v>
      </c>
      <c r="M41" s="23">
        <v>29.979176582579726</v>
      </c>
      <c r="N41" t="str">
        <f>IF(Sales_department[[#This Row],[Revenue]]&gt;10000,"High",IF(Sales_department[[#This Row],[Revenue]]&gt;5000,"Medium","Low"))</f>
        <v>High</v>
      </c>
    </row>
    <row r="42" spans="1:14" x14ac:dyDescent="0.25">
      <c r="A42" s="21" t="s">
        <v>397</v>
      </c>
      <c r="B42" s="21" t="s">
        <v>353</v>
      </c>
      <c r="C42" s="21" t="s">
        <v>344</v>
      </c>
      <c r="D42" s="21" t="s">
        <v>369</v>
      </c>
      <c r="E42" s="21">
        <v>9164209990</v>
      </c>
      <c r="F42" s="21" t="s">
        <v>346</v>
      </c>
      <c r="G42" s="21" t="s">
        <v>237</v>
      </c>
      <c r="H42">
        <v>1741.71</v>
      </c>
      <c r="I42">
        <v>15</v>
      </c>
      <c r="J42">
        <v>4026.14</v>
      </c>
      <c r="K42" s="21" t="s">
        <v>241</v>
      </c>
      <c r="L42">
        <v>26125.65</v>
      </c>
      <c r="M42" s="23">
        <v>15.410678777370132</v>
      </c>
      <c r="N42" t="str">
        <f>IF(Sales_department[[#This Row],[Revenue]]&gt;10000,"High",IF(Sales_department[[#This Row],[Revenue]]&gt;5000,"Medium","Low"))</f>
        <v>High</v>
      </c>
    </row>
    <row r="43" spans="1:14" x14ac:dyDescent="0.25">
      <c r="A43" s="21" t="s">
        <v>398</v>
      </c>
      <c r="B43" s="21" t="s">
        <v>353</v>
      </c>
      <c r="C43" s="21" t="s">
        <v>344</v>
      </c>
      <c r="D43" s="21" t="s">
        <v>383</v>
      </c>
      <c r="E43" s="21">
        <v>9972130283</v>
      </c>
      <c r="F43" s="21" t="s">
        <v>349</v>
      </c>
      <c r="G43" s="21" t="s">
        <v>357</v>
      </c>
      <c r="H43">
        <v>1691.18</v>
      </c>
      <c r="I43">
        <v>9</v>
      </c>
      <c r="J43">
        <v>3286.83</v>
      </c>
      <c r="K43" s="21" t="s">
        <v>351</v>
      </c>
      <c r="L43">
        <v>15220.62</v>
      </c>
      <c r="M43" s="23">
        <v>21.594586817094179</v>
      </c>
      <c r="N43" t="str">
        <f>IF(Sales_department[[#This Row],[Revenue]]&gt;10000,"High",IF(Sales_department[[#This Row],[Revenue]]&gt;5000,"Medium","Low"))</f>
        <v>High</v>
      </c>
    </row>
    <row r="44" spans="1:14" x14ac:dyDescent="0.25">
      <c r="A44" s="21" t="s">
        <v>399</v>
      </c>
      <c r="B44" s="21" t="s">
        <v>353</v>
      </c>
      <c r="C44" s="21" t="s">
        <v>344</v>
      </c>
      <c r="D44" s="21" t="s">
        <v>383</v>
      </c>
      <c r="E44" s="21">
        <v>9305312346</v>
      </c>
      <c r="F44" s="21" t="s">
        <v>346</v>
      </c>
      <c r="G44" s="21" t="s">
        <v>380</v>
      </c>
      <c r="H44">
        <v>2430.4899999999998</v>
      </c>
      <c r="I44">
        <v>1</v>
      </c>
      <c r="J44">
        <v>538.34</v>
      </c>
      <c r="K44" s="21" t="s">
        <v>381</v>
      </c>
      <c r="L44">
        <v>2430.4899999999998</v>
      </c>
      <c r="M44" s="23">
        <v>22.14944311640863</v>
      </c>
      <c r="N44" t="str">
        <f>IF(Sales_department[[#This Row],[Revenue]]&gt;10000,"High",IF(Sales_department[[#This Row],[Revenue]]&gt;5000,"Medium","Low"))</f>
        <v>Low</v>
      </c>
    </row>
    <row r="45" spans="1:14" x14ac:dyDescent="0.25">
      <c r="A45" s="21" t="s">
        <v>400</v>
      </c>
      <c r="B45" s="21" t="s">
        <v>343</v>
      </c>
      <c r="C45" s="21" t="s">
        <v>344</v>
      </c>
      <c r="D45" s="21" t="s">
        <v>383</v>
      </c>
      <c r="E45" s="21">
        <v>9403336927</v>
      </c>
      <c r="F45" s="21" t="s">
        <v>346</v>
      </c>
      <c r="G45" s="21" t="s">
        <v>245</v>
      </c>
      <c r="H45">
        <v>1937.5</v>
      </c>
      <c r="I45">
        <v>10</v>
      </c>
      <c r="J45">
        <v>2548.08</v>
      </c>
      <c r="K45" s="21" t="s">
        <v>241</v>
      </c>
      <c r="L45">
        <v>19375</v>
      </c>
      <c r="M45" s="23">
        <v>13.151380645161289</v>
      </c>
      <c r="N45" t="str">
        <f>IF(Sales_department[[#This Row],[Revenue]]&gt;10000,"High",IF(Sales_department[[#This Row],[Revenue]]&gt;5000,"Medium","Low"))</f>
        <v>High</v>
      </c>
    </row>
    <row r="46" spans="1:14" x14ac:dyDescent="0.25">
      <c r="A46" s="21" t="s">
        <v>401</v>
      </c>
      <c r="B46" s="21" t="s">
        <v>374</v>
      </c>
      <c r="C46" s="21" t="s">
        <v>344</v>
      </c>
      <c r="D46" s="21" t="s">
        <v>345</v>
      </c>
      <c r="E46" s="21">
        <v>9209432112</v>
      </c>
      <c r="F46" s="21" t="s">
        <v>346</v>
      </c>
      <c r="G46" s="21" t="s">
        <v>355</v>
      </c>
      <c r="H46">
        <v>2848.61</v>
      </c>
      <c r="I46">
        <v>15</v>
      </c>
      <c r="J46">
        <v>6188.69</v>
      </c>
      <c r="K46" s="21" t="s">
        <v>381</v>
      </c>
      <c r="L46">
        <v>42729.15</v>
      </c>
      <c r="M46" s="23">
        <v>14.483531734190827</v>
      </c>
      <c r="N46" t="str">
        <f>IF(Sales_department[[#This Row],[Revenue]]&gt;10000,"High",IF(Sales_department[[#This Row],[Revenue]]&gt;5000,"Medium","Low"))</f>
        <v>High</v>
      </c>
    </row>
    <row r="47" spans="1:14" x14ac:dyDescent="0.25">
      <c r="A47" s="21" t="s">
        <v>402</v>
      </c>
      <c r="B47" s="21" t="s">
        <v>374</v>
      </c>
      <c r="C47" s="21" t="s">
        <v>344</v>
      </c>
      <c r="D47" s="21" t="s">
        <v>367</v>
      </c>
      <c r="E47" s="21">
        <v>92886736565</v>
      </c>
      <c r="F47" s="21" t="s">
        <v>349</v>
      </c>
      <c r="G47" s="21" t="s">
        <v>396</v>
      </c>
      <c r="H47">
        <v>537.01</v>
      </c>
      <c r="I47">
        <v>15</v>
      </c>
      <c r="J47">
        <v>848.33</v>
      </c>
      <c r="K47" s="21" t="s">
        <v>381</v>
      </c>
      <c r="L47">
        <v>8055.15</v>
      </c>
      <c r="M47" s="23">
        <v>10.531523311173597</v>
      </c>
      <c r="N47" t="str">
        <f>IF(Sales_department[[#This Row],[Revenue]]&gt;10000,"High",IF(Sales_department[[#This Row],[Revenue]]&gt;5000,"Medium","Low"))</f>
        <v>Medium</v>
      </c>
    </row>
    <row r="48" spans="1:14" x14ac:dyDescent="0.25">
      <c r="A48" s="21" t="s">
        <v>403</v>
      </c>
      <c r="B48" s="21" t="s">
        <v>362</v>
      </c>
      <c r="C48" s="21" t="s">
        <v>344</v>
      </c>
      <c r="D48" s="21" t="s">
        <v>345</v>
      </c>
      <c r="E48" s="21">
        <v>9696039067</v>
      </c>
      <c r="F48" s="21" t="s">
        <v>349</v>
      </c>
      <c r="G48" s="21" t="s">
        <v>357</v>
      </c>
      <c r="H48">
        <v>2052.79</v>
      </c>
      <c r="I48">
        <v>1</v>
      </c>
      <c r="J48">
        <v>296.79000000000002</v>
      </c>
      <c r="K48" s="21" t="s">
        <v>351</v>
      </c>
      <c r="L48">
        <v>2052.79</v>
      </c>
      <c r="M48" s="23">
        <v>14.457884147915765</v>
      </c>
      <c r="N48" t="str">
        <f>IF(Sales_department[[#This Row],[Revenue]]&gt;10000,"High",IF(Sales_department[[#This Row],[Revenue]]&gt;5000,"Medium","Low"))</f>
        <v>Low</v>
      </c>
    </row>
    <row r="49" spans="1:14" x14ac:dyDescent="0.25">
      <c r="A49" s="21" t="s">
        <v>404</v>
      </c>
      <c r="B49" s="21" t="s">
        <v>362</v>
      </c>
      <c r="C49" s="21" t="s">
        <v>344</v>
      </c>
      <c r="D49" s="21" t="s">
        <v>367</v>
      </c>
      <c r="E49" s="21">
        <v>9729755086</v>
      </c>
      <c r="F49" s="21" t="s">
        <v>346</v>
      </c>
      <c r="G49" s="21" t="s">
        <v>380</v>
      </c>
      <c r="H49">
        <v>1708.1</v>
      </c>
      <c r="I49">
        <v>3</v>
      </c>
      <c r="J49">
        <v>897.22</v>
      </c>
      <c r="K49" s="21" t="s">
        <v>225</v>
      </c>
      <c r="L49">
        <v>5124.2999999999993</v>
      </c>
      <c r="M49" s="23">
        <v>17.509123197314757</v>
      </c>
      <c r="N49" t="str">
        <f>IF(Sales_department[[#This Row],[Revenue]]&gt;10000,"High",IF(Sales_department[[#This Row],[Revenue]]&gt;5000,"Medium","Low"))</f>
        <v>Medium</v>
      </c>
    </row>
    <row r="50" spans="1:14" x14ac:dyDescent="0.25">
      <c r="A50" s="21" t="s">
        <v>405</v>
      </c>
      <c r="B50" s="21" t="s">
        <v>362</v>
      </c>
      <c r="C50" s="21" t="s">
        <v>344</v>
      </c>
      <c r="D50" s="21" t="s">
        <v>383</v>
      </c>
      <c r="E50" s="21">
        <v>9291717779</v>
      </c>
      <c r="F50" s="21" t="s">
        <v>223</v>
      </c>
      <c r="G50" s="21" t="s">
        <v>253</v>
      </c>
      <c r="H50">
        <v>1616.55</v>
      </c>
      <c r="I50">
        <v>14</v>
      </c>
      <c r="J50">
        <v>6621.29</v>
      </c>
      <c r="K50" s="21" t="s">
        <v>225</v>
      </c>
      <c r="L50">
        <v>22631.7</v>
      </c>
      <c r="M50" s="23">
        <v>29.256706301338387</v>
      </c>
      <c r="N50" t="str">
        <f>IF(Sales_department[[#This Row],[Revenue]]&gt;10000,"High",IF(Sales_department[[#This Row],[Revenue]]&gt;5000,"Medium","Low"))</f>
        <v>High</v>
      </c>
    </row>
    <row r="51" spans="1:14" x14ac:dyDescent="0.25">
      <c r="A51" s="21" t="s">
        <v>406</v>
      </c>
      <c r="B51" s="21" t="s">
        <v>362</v>
      </c>
      <c r="C51" s="21" t="s">
        <v>344</v>
      </c>
      <c r="D51" s="21" t="s">
        <v>345</v>
      </c>
      <c r="E51" s="21">
        <v>9596984707</v>
      </c>
      <c r="F51" s="21" t="s">
        <v>346</v>
      </c>
      <c r="G51" s="21" t="s">
        <v>237</v>
      </c>
      <c r="H51">
        <v>1774.62</v>
      </c>
      <c r="I51">
        <v>7</v>
      </c>
      <c r="J51">
        <v>3378.16</v>
      </c>
      <c r="K51" s="21" t="s">
        <v>225</v>
      </c>
      <c r="L51">
        <v>12422.34</v>
      </c>
      <c r="M51" s="23">
        <v>27.194232326598687</v>
      </c>
      <c r="N51" t="str">
        <f>IF(Sales_department[[#This Row],[Revenue]]&gt;10000,"High",IF(Sales_department[[#This Row],[Revenue]]&gt;5000,"Medium","Low"))</f>
        <v>High</v>
      </c>
    </row>
    <row r="52" spans="1:14" x14ac:dyDescent="0.25">
      <c r="A52" s="21" t="s">
        <v>407</v>
      </c>
      <c r="B52" s="21" t="s">
        <v>353</v>
      </c>
      <c r="C52" s="21" t="s">
        <v>344</v>
      </c>
      <c r="D52" s="21" t="s">
        <v>369</v>
      </c>
      <c r="E52" s="21">
        <v>9621477109</v>
      </c>
      <c r="F52" s="21" t="s">
        <v>223</v>
      </c>
      <c r="G52" s="21" t="s">
        <v>247</v>
      </c>
      <c r="H52">
        <v>644.14</v>
      </c>
      <c r="I52">
        <v>12</v>
      </c>
      <c r="J52">
        <v>988.52</v>
      </c>
      <c r="K52" s="21" t="s">
        <v>358</v>
      </c>
      <c r="L52">
        <v>7729.68</v>
      </c>
      <c r="M52" s="23">
        <v>12.788627731031553</v>
      </c>
      <c r="N52" t="str">
        <f>IF(Sales_department[[#This Row],[Revenue]]&gt;10000,"High",IF(Sales_department[[#This Row],[Revenue]]&gt;5000,"Medium","Low"))</f>
        <v>Medium</v>
      </c>
    </row>
    <row r="53" spans="1:14" x14ac:dyDescent="0.25">
      <c r="A53" s="21" t="s">
        <v>408</v>
      </c>
      <c r="B53" s="21" t="s">
        <v>353</v>
      </c>
      <c r="C53" s="21" t="s">
        <v>344</v>
      </c>
      <c r="D53" s="21" t="s">
        <v>354</v>
      </c>
      <c r="E53" s="21">
        <v>9813614929</v>
      </c>
      <c r="F53" s="21" t="s">
        <v>349</v>
      </c>
      <c r="G53" s="21" t="s">
        <v>357</v>
      </c>
      <c r="H53">
        <v>1767.47</v>
      </c>
      <c r="I53">
        <v>13</v>
      </c>
      <c r="J53">
        <v>3353.4</v>
      </c>
      <c r="K53" s="21" t="s">
        <v>241</v>
      </c>
      <c r="L53">
        <v>22977.11</v>
      </c>
      <c r="M53" s="23">
        <v>14.594524724823966</v>
      </c>
      <c r="N53" t="str">
        <f>IF(Sales_department[[#This Row],[Revenue]]&gt;10000,"High",IF(Sales_department[[#This Row],[Revenue]]&gt;5000,"Medium","Low"))</f>
        <v>High</v>
      </c>
    </row>
    <row r="54" spans="1:14" x14ac:dyDescent="0.25">
      <c r="A54" s="21" t="s">
        <v>409</v>
      </c>
      <c r="B54" s="21" t="s">
        <v>362</v>
      </c>
      <c r="C54" s="21" t="s">
        <v>344</v>
      </c>
      <c r="D54" s="21" t="s">
        <v>363</v>
      </c>
      <c r="E54" s="21">
        <v>9314930259</v>
      </c>
      <c r="F54" s="21" t="s">
        <v>346</v>
      </c>
      <c r="G54" s="21" t="s">
        <v>245</v>
      </c>
      <c r="H54">
        <v>2506.6</v>
      </c>
      <c r="I54">
        <v>11</v>
      </c>
      <c r="J54">
        <v>8011.16</v>
      </c>
      <c r="K54" s="21" t="s">
        <v>241</v>
      </c>
      <c r="L54">
        <v>27572.6</v>
      </c>
      <c r="M54" s="23">
        <v>29.05478627332932</v>
      </c>
      <c r="N54" t="str">
        <f>IF(Sales_department[[#This Row],[Revenue]]&gt;10000,"High",IF(Sales_department[[#This Row],[Revenue]]&gt;5000,"Medium","Low"))</f>
        <v>High</v>
      </c>
    </row>
    <row r="55" spans="1:14" x14ac:dyDescent="0.25">
      <c r="A55" s="21" t="s">
        <v>410</v>
      </c>
      <c r="B55" s="21" t="s">
        <v>343</v>
      </c>
      <c r="C55" s="21" t="s">
        <v>344</v>
      </c>
      <c r="D55" s="21" t="s">
        <v>354</v>
      </c>
      <c r="E55" s="21">
        <v>93262535688</v>
      </c>
      <c r="F55" s="21" t="s">
        <v>223</v>
      </c>
      <c r="G55" s="21" t="s">
        <v>281</v>
      </c>
      <c r="H55">
        <v>727.87</v>
      </c>
      <c r="I55">
        <v>2</v>
      </c>
      <c r="J55">
        <v>385.93</v>
      </c>
      <c r="K55" s="21" t="s">
        <v>225</v>
      </c>
      <c r="L55">
        <v>1455.74</v>
      </c>
      <c r="M55" s="23">
        <v>26.510915410718951</v>
      </c>
      <c r="N55" t="str">
        <f>IF(Sales_department[[#This Row],[Revenue]]&gt;10000,"High",IF(Sales_department[[#This Row],[Revenue]]&gt;5000,"Medium","Low"))</f>
        <v>Low</v>
      </c>
    </row>
    <row r="56" spans="1:14" x14ac:dyDescent="0.25">
      <c r="A56" s="21" t="s">
        <v>411</v>
      </c>
      <c r="B56" s="21" t="s">
        <v>343</v>
      </c>
      <c r="C56" s="21" t="s">
        <v>344</v>
      </c>
      <c r="D56" s="21" t="s">
        <v>383</v>
      </c>
      <c r="E56" s="21">
        <v>9922473225</v>
      </c>
      <c r="F56" s="21" t="s">
        <v>349</v>
      </c>
      <c r="G56" s="21" t="s">
        <v>357</v>
      </c>
      <c r="H56">
        <v>2509.39</v>
      </c>
      <c r="I56">
        <v>4</v>
      </c>
      <c r="J56">
        <v>2607.48</v>
      </c>
      <c r="K56" s="21" t="s">
        <v>225</v>
      </c>
      <c r="L56">
        <v>10037.56</v>
      </c>
      <c r="M56" s="23">
        <v>25.977229525900718</v>
      </c>
      <c r="N56" t="str">
        <f>IF(Sales_department[[#This Row],[Revenue]]&gt;10000,"High",IF(Sales_department[[#This Row],[Revenue]]&gt;5000,"Medium","Low"))</f>
        <v>High</v>
      </c>
    </row>
    <row r="57" spans="1:14" x14ac:dyDescent="0.25">
      <c r="A57" s="21" t="s">
        <v>412</v>
      </c>
      <c r="B57" s="21" t="s">
        <v>374</v>
      </c>
      <c r="C57" s="21" t="s">
        <v>344</v>
      </c>
      <c r="D57" s="21" t="s">
        <v>371</v>
      </c>
      <c r="E57" s="21">
        <v>9435049619</v>
      </c>
      <c r="F57" s="21" t="s">
        <v>223</v>
      </c>
      <c r="G57" s="21" t="s">
        <v>378</v>
      </c>
      <c r="H57">
        <v>254.27</v>
      </c>
      <c r="I57">
        <v>5</v>
      </c>
      <c r="J57">
        <v>247.89</v>
      </c>
      <c r="K57" s="21" t="s">
        <v>351</v>
      </c>
      <c r="L57">
        <v>1271.3500000000001</v>
      </c>
      <c r="M57" s="23">
        <v>19.498171235301054</v>
      </c>
      <c r="N57" t="str">
        <f>IF(Sales_department[[#This Row],[Revenue]]&gt;10000,"High",IF(Sales_department[[#This Row],[Revenue]]&gt;5000,"Medium","Low"))</f>
        <v>Low</v>
      </c>
    </row>
    <row r="58" spans="1:14" x14ac:dyDescent="0.25">
      <c r="A58" s="21" t="s">
        <v>413</v>
      </c>
      <c r="B58" s="21" t="s">
        <v>362</v>
      </c>
      <c r="C58" s="21" t="s">
        <v>344</v>
      </c>
      <c r="D58" s="21" t="s">
        <v>383</v>
      </c>
      <c r="E58" s="21">
        <v>9139717689</v>
      </c>
      <c r="F58" s="21" t="s">
        <v>223</v>
      </c>
      <c r="G58" s="21" t="s">
        <v>281</v>
      </c>
      <c r="H58">
        <v>1104.23</v>
      </c>
      <c r="I58">
        <v>11</v>
      </c>
      <c r="J58">
        <v>1883.37</v>
      </c>
      <c r="K58" s="21" t="s">
        <v>225</v>
      </c>
      <c r="L58">
        <v>12146.53</v>
      </c>
      <c r="M58" s="23">
        <v>15.50541595006969</v>
      </c>
      <c r="N58" t="str">
        <f>IF(Sales_department[[#This Row],[Revenue]]&gt;10000,"High",IF(Sales_department[[#This Row],[Revenue]]&gt;5000,"Medium","Low"))</f>
        <v>High</v>
      </c>
    </row>
    <row r="59" spans="1:14" x14ac:dyDescent="0.25">
      <c r="A59" s="21" t="s">
        <v>414</v>
      </c>
      <c r="B59" s="21" t="s">
        <v>353</v>
      </c>
      <c r="C59" s="21" t="s">
        <v>344</v>
      </c>
      <c r="D59" s="21" t="s">
        <v>354</v>
      </c>
      <c r="E59" s="21">
        <v>9873282041</v>
      </c>
      <c r="F59" s="21" t="s">
        <v>223</v>
      </c>
      <c r="G59" s="21" t="s">
        <v>240</v>
      </c>
      <c r="H59">
        <v>861.53</v>
      </c>
      <c r="I59">
        <v>3</v>
      </c>
      <c r="J59">
        <v>482.01</v>
      </c>
      <c r="K59" s="21" t="s">
        <v>381</v>
      </c>
      <c r="L59">
        <v>2584.59</v>
      </c>
      <c r="M59" s="23">
        <v>18.649379592120994</v>
      </c>
      <c r="N59" t="str">
        <f>IF(Sales_department[[#This Row],[Revenue]]&gt;10000,"High",IF(Sales_department[[#This Row],[Revenue]]&gt;5000,"Medium","Low"))</f>
        <v>Low</v>
      </c>
    </row>
    <row r="60" spans="1:14" x14ac:dyDescent="0.25">
      <c r="A60" s="21" t="s">
        <v>415</v>
      </c>
      <c r="B60" s="21" t="s">
        <v>374</v>
      </c>
      <c r="C60" s="21" t="s">
        <v>344</v>
      </c>
      <c r="D60" s="21" t="s">
        <v>354</v>
      </c>
      <c r="E60" s="21">
        <v>9520705759</v>
      </c>
      <c r="F60" s="21" t="s">
        <v>346</v>
      </c>
      <c r="G60" s="21" t="s">
        <v>355</v>
      </c>
      <c r="H60">
        <v>940.76</v>
      </c>
      <c r="I60">
        <v>4</v>
      </c>
      <c r="J60">
        <v>842.47</v>
      </c>
      <c r="K60" s="21" t="s">
        <v>381</v>
      </c>
      <c r="L60">
        <v>3763.04</v>
      </c>
      <c r="M60" s="23">
        <v>22.38801607211191</v>
      </c>
      <c r="N60" t="str">
        <f>IF(Sales_department[[#This Row],[Revenue]]&gt;10000,"High",IF(Sales_department[[#This Row],[Revenue]]&gt;5000,"Medium","Low"))</f>
        <v>Low</v>
      </c>
    </row>
    <row r="61" spans="1:14" x14ac:dyDescent="0.25">
      <c r="A61" s="21" t="s">
        <v>416</v>
      </c>
      <c r="B61" s="21" t="s">
        <v>362</v>
      </c>
      <c r="C61" s="21" t="s">
        <v>344</v>
      </c>
      <c r="D61" s="21" t="s">
        <v>354</v>
      </c>
      <c r="E61" s="21">
        <v>9648648568</v>
      </c>
      <c r="F61" s="21" t="s">
        <v>346</v>
      </c>
      <c r="G61" s="21" t="s">
        <v>355</v>
      </c>
      <c r="H61">
        <v>1505.5</v>
      </c>
      <c r="I61">
        <v>11</v>
      </c>
      <c r="J61">
        <v>3985.19</v>
      </c>
      <c r="K61" s="21" t="s">
        <v>381</v>
      </c>
      <c r="L61">
        <v>16560.5</v>
      </c>
      <c r="M61" s="23">
        <v>24.064430421786781</v>
      </c>
      <c r="N61" t="str">
        <f>IF(Sales_department[[#This Row],[Revenue]]&gt;10000,"High",IF(Sales_department[[#This Row],[Revenue]]&gt;5000,"Medium","Low"))</f>
        <v>High</v>
      </c>
    </row>
    <row r="62" spans="1:14" x14ac:dyDescent="0.25">
      <c r="A62" s="21" t="s">
        <v>417</v>
      </c>
      <c r="B62" s="21" t="s">
        <v>343</v>
      </c>
      <c r="C62" s="21" t="s">
        <v>344</v>
      </c>
      <c r="D62" s="21" t="s">
        <v>383</v>
      </c>
      <c r="E62" s="21">
        <v>9416435713</v>
      </c>
      <c r="F62" s="21" t="s">
        <v>346</v>
      </c>
      <c r="G62" s="21" t="s">
        <v>237</v>
      </c>
      <c r="H62">
        <v>1477.49</v>
      </c>
      <c r="I62">
        <v>11</v>
      </c>
      <c r="J62">
        <v>2428.98</v>
      </c>
      <c r="K62" s="21" t="s">
        <v>225</v>
      </c>
      <c r="L62">
        <v>16252.39</v>
      </c>
      <c r="M62" s="23">
        <v>14.945371111571898</v>
      </c>
      <c r="N62" t="str">
        <f>IF(Sales_department[[#This Row],[Revenue]]&gt;10000,"High",IF(Sales_department[[#This Row],[Revenue]]&gt;5000,"Medium","Low"))</f>
        <v>High</v>
      </c>
    </row>
    <row r="63" spans="1:14" x14ac:dyDescent="0.25">
      <c r="A63" s="21" t="s">
        <v>418</v>
      </c>
      <c r="B63" s="21" t="s">
        <v>362</v>
      </c>
      <c r="C63" s="21" t="s">
        <v>344</v>
      </c>
      <c r="D63" s="21" t="s">
        <v>371</v>
      </c>
      <c r="E63" s="21">
        <v>9211381294</v>
      </c>
      <c r="F63" s="21" t="s">
        <v>349</v>
      </c>
      <c r="G63" s="21" t="s">
        <v>365</v>
      </c>
      <c r="H63">
        <v>704.64</v>
      </c>
      <c r="I63">
        <v>2</v>
      </c>
      <c r="J63">
        <v>163.57</v>
      </c>
      <c r="K63" s="21" t="s">
        <v>241</v>
      </c>
      <c r="L63">
        <v>1409.28</v>
      </c>
      <c r="M63" s="23">
        <v>11.606636012715713</v>
      </c>
      <c r="N63" t="str">
        <f>IF(Sales_department[[#This Row],[Revenue]]&gt;10000,"High",IF(Sales_department[[#This Row],[Revenue]]&gt;5000,"Medium","Low"))</f>
        <v>Low</v>
      </c>
    </row>
    <row r="64" spans="1:14" x14ac:dyDescent="0.25">
      <c r="A64" s="21" t="s">
        <v>419</v>
      </c>
      <c r="B64" s="21" t="s">
        <v>374</v>
      </c>
      <c r="C64" s="21" t="s">
        <v>344</v>
      </c>
      <c r="D64" s="21" t="s">
        <v>354</v>
      </c>
      <c r="E64" s="21">
        <v>9791244114</v>
      </c>
      <c r="F64" s="21" t="s">
        <v>349</v>
      </c>
      <c r="G64" s="21" t="s">
        <v>396</v>
      </c>
      <c r="H64">
        <v>2030.2</v>
      </c>
      <c r="I64">
        <v>13</v>
      </c>
      <c r="J64">
        <v>3695.03</v>
      </c>
      <c r="K64" s="21" t="s">
        <v>351</v>
      </c>
      <c r="L64">
        <v>26392.600000000002</v>
      </c>
      <c r="M64" s="23">
        <v>14.000250070095404</v>
      </c>
      <c r="N64" t="str">
        <f>IF(Sales_department[[#This Row],[Revenue]]&gt;10000,"High",IF(Sales_department[[#This Row],[Revenue]]&gt;5000,"Medium","Low"))</f>
        <v>High</v>
      </c>
    </row>
    <row r="65" spans="1:14" x14ac:dyDescent="0.25">
      <c r="A65" s="21" t="s">
        <v>420</v>
      </c>
      <c r="B65" s="21" t="s">
        <v>343</v>
      </c>
      <c r="C65" s="21" t="s">
        <v>344</v>
      </c>
      <c r="D65" s="21" t="s">
        <v>371</v>
      </c>
      <c r="E65" s="21">
        <v>9194670146</v>
      </c>
      <c r="F65" s="21" t="s">
        <v>346</v>
      </c>
      <c r="G65" s="21" t="s">
        <v>347</v>
      </c>
      <c r="H65">
        <v>1822.28</v>
      </c>
      <c r="I65">
        <v>4</v>
      </c>
      <c r="J65">
        <v>1973.2</v>
      </c>
      <c r="K65" s="21" t="s">
        <v>358</v>
      </c>
      <c r="L65">
        <v>7289.12</v>
      </c>
      <c r="M65" s="23">
        <v>27.070483131022677</v>
      </c>
      <c r="N65" t="str">
        <f>IF(Sales_department[[#This Row],[Revenue]]&gt;10000,"High",IF(Sales_department[[#This Row],[Revenue]]&gt;5000,"Medium","Low"))</f>
        <v>Medium</v>
      </c>
    </row>
    <row r="66" spans="1:14" x14ac:dyDescent="0.25">
      <c r="A66" s="21" t="s">
        <v>421</v>
      </c>
      <c r="B66" s="21" t="s">
        <v>374</v>
      </c>
      <c r="C66" s="21" t="s">
        <v>344</v>
      </c>
      <c r="D66" s="21" t="s">
        <v>367</v>
      </c>
      <c r="E66" s="21">
        <v>9519275644</v>
      </c>
      <c r="F66" s="21" t="s">
        <v>349</v>
      </c>
      <c r="G66" s="21" t="s">
        <v>357</v>
      </c>
      <c r="H66">
        <v>600.17999999999995</v>
      </c>
      <c r="I66">
        <v>11</v>
      </c>
      <c r="J66">
        <v>1525.57</v>
      </c>
      <c r="K66" s="21" t="s">
        <v>225</v>
      </c>
      <c r="L66">
        <v>6601.98</v>
      </c>
      <c r="M66" s="23">
        <v>23.107764640304879</v>
      </c>
      <c r="N66" t="str">
        <f>IF(Sales_department[[#This Row],[Revenue]]&gt;10000,"High",IF(Sales_department[[#This Row],[Revenue]]&gt;5000,"Medium","Low"))</f>
        <v>Medium</v>
      </c>
    </row>
    <row r="67" spans="1:14" x14ac:dyDescent="0.25">
      <c r="A67" s="21" t="s">
        <v>422</v>
      </c>
      <c r="B67" s="21" t="s">
        <v>353</v>
      </c>
      <c r="C67" s="21" t="s">
        <v>344</v>
      </c>
      <c r="D67" s="21" t="s">
        <v>367</v>
      </c>
      <c r="E67" s="21">
        <v>9520013561</v>
      </c>
      <c r="F67" s="21" t="s">
        <v>346</v>
      </c>
      <c r="G67" s="21" t="s">
        <v>355</v>
      </c>
      <c r="H67">
        <v>2330.36</v>
      </c>
      <c r="I67">
        <v>7</v>
      </c>
      <c r="J67">
        <v>3532.26</v>
      </c>
      <c r="K67" s="21" t="s">
        <v>381</v>
      </c>
      <c r="L67">
        <v>16312.52</v>
      </c>
      <c r="M67" s="23">
        <v>21.653674600858729</v>
      </c>
      <c r="N67" t="str">
        <f>IF(Sales_department[[#This Row],[Revenue]]&gt;10000,"High",IF(Sales_department[[#This Row],[Revenue]]&gt;5000,"Medium","Low"))</f>
        <v>High</v>
      </c>
    </row>
    <row r="68" spans="1:14" x14ac:dyDescent="0.25">
      <c r="A68" s="21" t="s">
        <v>423</v>
      </c>
      <c r="B68" s="21" t="s">
        <v>374</v>
      </c>
      <c r="C68" s="21" t="s">
        <v>344</v>
      </c>
      <c r="D68" s="21" t="s">
        <v>369</v>
      </c>
      <c r="E68" s="21">
        <v>95989895092</v>
      </c>
      <c r="F68" s="21" t="s">
        <v>223</v>
      </c>
      <c r="G68" s="21" t="s">
        <v>253</v>
      </c>
      <c r="H68">
        <v>1084.67</v>
      </c>
      <c r="I68">
        <v>13</v>
      </c>
      <c r="J68">
        <v>4140.1400000000003</v>
      </c>
      <c r="K68" s="21" t="s">
        <v>358</v>
      </c>
      <c r="L68">
        <v>14100.710000000001</v>
      </c>
      <c r="M68" s="23">
        <v>29.361216562853926</v>
      </c>
      <c r="N68" t="str">
        <f>IF(Sales_department[[#This Row],[Revenue]]&gt;10000,"High",IF(Sales_department[[#This Row],[Revenue]]&gt;5000,"Medium","Low"))</f>
        <v>High</v>
      </c>
    </row>
    <row r="69" spans="1:14" x14ac:dyDescent="0.25">
      <c r="A69" s="21" t="s">
        <v>424</v>
      </c>
      <c r="B69" s="21" t="s">
        <v>362</v>
      </c>
      <c r="C69" s="21" t="s">
        <v>344</v>
      </c>
      <c r="D69" s="21" t="s">
        <v>383</v>
      </c>
      <c r="E69" s="21">
        <v>9499862542</v>
      </c>
      <c r="F69" s="21" t="s">
        <v>349</v>
      </c>
      <c r="G69" s="21" t="s">
        <v>396</v>
      </c>
      <c r="H69">
        <v>1893.55</v>
      </c>
      <c r="I69">
        <v>12</v>
      </c>
      <c r="J69">
        <v>3204.64</v>
      </c>
      <c r="K69" s="21" t="s">
        <v>351</v>
      </c>
      <c r="L69">
        <v>22722.6</v>
      </c>
      <c r="M69" s="23">
        <v>14.103315641695932</v>
      </c>
      <c r="N69" t="str">
        <f>IF(Sales_department[[#This Row],[Revenue]]&gt;10000,"High",IF(Sales_department[[#This Row],[Revenue]]&gt;5000,"Medium","Low"))</f>
        <v>High</v>
      </c>
    </row>
    <row r="70" spans="1:14" x14ac:dyDescent="0.25">
      <c r="A70" s="21" t="s">
        <v>425</v>
      </c>
      <c r="B70" s="21" t="s">
        <v>374</v>
      </c>
      <c r="C70" s="21" t="s">
        <v>344</v>
      </c>
      <c r="D70" s="21" t="s">
        <v>369</v>
      </c>
      <c r="E70" s="21">
        <v>9724136290</v>
      </c>
      <c r="F70" s="21" t="s">
        <v>349</v>
      </c>
      <c r="G70" s="21" t="s">
        <v>365</v>
      </c>
      <c r="H70">
        <v>1747.22</v>
      </c>
      <c r="I70">
        <v>6</v>
      </c>
      <c r="J70">
        <v>2678.22</v>
      </c>
      <c r="K70" s="21" t="s">
        <v>358</v>
      </c>
      <c r="L70">
        <v>10483.32</v>
      </c>
      <c r="M70" s="23">
        <v>25.547441077826488</v>
      </c>
      <c r="N70" t="str">
        <f>IF(Sales_department[[#This Row],[Revenue]]&gt;10000,"High",IF(Sales_department[[#This Row],[Revenue]]&gt;5000,"Medium","Low"))</f>
        <v>High</v>
      </c>
    </row>
    <row r="71" spans="1:14" x14ac:dyDescent="0.25">
      <c r="A71" s="21" t="s">
        <v>426</v>
      </c>
      <c r="B71" s="21" t="s">
        <v>362</v>
      </c>
      <c r="C71" s="21" t="s">
        <v>344</v>
      </c>
      <c r="D71" s="21" t="s">
        <v>369</v>
      </c>
      <c r="E71" s="21">
        <v>9321909198</v>
      </c>
      <c r="F71" s="21" t="s">
        <v>349</v>
      </c>
      <c r="G71" s="21" t="s">
        <v>285</v>
      </c>
      <c r="H71">
        <v>287.31</v>
      </c>
      <c r="I71">
        <v>8</v>
      </c>
      <c r="J71">
        <v>381.56</v>
      </c>
      <c r="K71" s="21" t="s">
        <v>381</v>
      </c>
      <c r="L71">
        <v>2298.48</v>
      </c>
      <c r="M71" s="23">
        <v>16.600536006404234</v>
      </c>
      <c r="N71" t="str">
        <f>IF(Sales_department[[#This Row],[Revenue]]&gt;10000,"High",IF(Sales_department[[#This Row],[Revenue]]&gt;5000,"Medium","Low"))</f>
        <v>Low</v>
      </c>
    </row>
    <row r="72" spans="1:14" x14ac:dyDescent="0.25">
      <c r="A72" s="21" t="s">
        <v>427</v>
      </c>
      <c r="B72" s="21" t="s">
        <v>374</v>
      </c>
      <c r="C72" s="21" t="s">
        <v>344</v>
      </c>
      <c r="D72" s="21" t="s">
        <v>367</v>
      </c>
      <c r="E72" s="21">
        <v>9760693305</v>
      </c>
      <c r="F72" s="21" t="s">
        <v>346</v>
      </c>
      <c r="G72" s="21" t="s">
        <v>347</v>
      </c>
      <c r="H72">
        <v>1700.05</v>
      </c>
      <c r="I72">
        <v>2</v>
      </c>
      <c r="J72">
        <v>383.92</v>
      </c>
      <c r="K72" s="21" t="s">
        <v>241</v>
      </c>
      <c r="L72">
        <v>3400.1</v>
      </c>
      <c r="M72" s="23">
        <v>11.291432604923385</v>
      </c>
      <c r="N72" t="str">
        <f>IF(Sales_department[[#This Row],[Revenue]]&gt;10000,"High",IF(Sales_department[[#This Row],[Revenue]]&gt;5000,"Medium","Low"))</f>
        <v>Low</v>
      </c>
    </row>
    <row r="73" spans="1:14" x14ac:dyDescent="0.25">
      <c r="A73" s="21" t="s">
        <v>428</v>
      </c>
      <c r="B73" s="21" t="s">
        <v>362</v>
      </c>
      <c r="C73" s="21" t="s">
        <v>344</v>
      </c>
      <c r="D73" s="21" t="s">
        <v>369</v>
      </c>
      <c r="E73" s="21">
        <v>9658575570</v>
      </c>
      <c r="F73" s="21" t="s">
        <v>349</v>
      </c>
      <c r="G73" s="21" t="s">
        <v>285</v>
      </c>
      <c r="H73">
        <v>1180.31</v>
      </c>
      <c r="I73">
        <v>7</v>
      </c>
      <c r="J73">
        <v>847.73</v>
      </c>
      <c r="K73" s="21" t="s">
        <v>241</v>
      </c>
      <c r="L73">
        <v>8262.17</v>
      </c>
      <c r="M73" s="23">
        <v>10.260379537094977</v>
      </c>
      <c r="N73" t="str">
        <f>IF(Sales_department[[#This Row],[Revenue]]&gt;10000,"High",IF(Sales_department[[#This Row],[Revenue]]&gt;5000,"Medium","Low"))</f>
        <v>Medium</v>
      </c>
    </row>
    <row r="74" spans="1:14" x14ac:dyDescent="0.25">
      <c r="A74" s="21" t="s">
        <v>429</v>
      </c>
      <c r="B74" s="21" t="s">
        <v>353</v>
      </c>
      <c r="C74" s="21" t="s">
        <v>344</v>
      </c>
      <c r="D74" s="21" t="s">
        <v>369</v>
      </c>
      <c r="E74" s="21">
        <v>9950273824</v>
      </c>
      <c r="F74" s="21" t="s">
        <v>349</v>
      </c>
      <c r="G74" s="21" t="s">
        <v>396</v>
      </c>
      <c r="H74">
        <v>653.35</v>
      </c>
      <c r="I74">
        <v>4</v>
      </c>
      <c r="J74">
        <v>345.46</v>
      </c>
      <c r="K74" s="21" t="s">
        <v>225</v>
      </c>
      <c r="L74">
        <v>2613.4</v>
      </c>
      <c r="M74" s="23">
        <v>13.218795438891865</v>
      </c>
      <c r="N74" t="str">
        <f>IF(Sales_department[[#This Row],[Revenue]]&gt;10000,"High",IF(Sales_department[[#This Row],[Revenue]]&gt;5000,"Medium","Low"))</f>
        <v>Low</v>
      </c>
    </row>
    <row r="75" spans="1:14" x14ac:dyDescent="0.25">
      <c r="A75" s="21" t="s">
        <v>430</v>
      </c>
      <c r="B75" s="21" t="s">
        <v>353</v>
      </c>
      <c r="C75" s="21" t="s">
        <v>344</v>
      </c>
      <c r="D75" s="21" t="s">
        <v>363</v>
      </c>
      <c r="E75" s="21">
        <v>9898816813</v>
      </c>
      <c r="F75" s="21" t="s">
        <v>223</v>
      </c>
      <c r="G75" s="21" t="s">
        <v>240</v>
      </c>
      <c r="H75">
        <v>1881.74</v>
      </c>
      <c r="I75">
        <v>4</v>
      </c>
      <c r="J75">
        <v>1363.83</v>
      </c>
      <c r="K75" s="21" t="s">
        <v>381</v>
      </c>
      <c r="L75">
        <v>7526.96</v>
      </c>
      <c r="M75" s="23">
        <v>18.119267273906065</v>
      </c>
      <c r="N75" t="str">
        <f>IF(Sales_department[[#This Row],[Revenue]]&gt;10000,"High",IF(Sales_department[[#This Row],[Revenue]]&gt;5000,"Medium","Low"))</f>
        <v>Medium</v>
      </c>
    </row>
    <row r="76" spans="1:14" x14ac:dyDescent="0.25">
      <c r="A76" s="21" t="s">
        <v>431</v>
      </c>
      <c r="B76" s="21" t="s">
        <v>374</v>
      </c>
      <c r="C76" s="21" t="s">
        <v>344</v>
      </c>
      <c r="D76" s="21" t="s">
        <v>371</v>
      </c>
      <c r="E76" s="21">
        <v>9571594565</v>
      </c>
      <c r="F76" s="21" t="s">
        <v>349</v>
      </c>
      <c r="G76" s="21" t="s">
        <v>350</v>
      </c>
      <c r="H76">
        <v>1206.3499999999999</v>
      </c>
      <c r="I76">
        <v>15</v>
      </c>
      <c r="J76">
        <v>2801.82</v>
      </c>
      <c r="K76" s="21" t="s">
        <v>241</v>
      </c>
      <c r="L76">
        <v>18095.25</v>
      </c>
      <c r="M76" s="23">
        <v>15.483731918597424</v>
      </c>
      <c r="N76" t="str">
        <f>IF(Sales_department[[#This Row],[Revenue]]&gt;10000,"High",IF(Sales_department[[#This Row],[Revenue]]&gt;5000,"Medium","Low"))</f>
        <v>High</v>
      </c>
    </row>
    <row r="77" spans="1:14" x14ac:dyDescent="0.25">
      <c r="A77" s="21" t="s">
        <v>432</v>
      </c>
      <c r="B77" s="21" t="s">
        <v>353</v>
      </c>
      <c r="C77" s="21" t="s">
        <v>344</v>
      </c>
      <c r="D77" s="21" t="s">
        <v>367</v>
      </c>
      <c r="E77" s="21">
        <v>9684352160</v>
      </c>
      <c r="F77" s="21" t="s">
        <v>346</v>
      </c>
      <c r="G77" s="21" t="s">
        <v>380</v>
      </c>
      <c r="H77">
        <v>1849.95</v>
      </c>
      <c r="I77">
        <v>5</v>
      </c>
      <c r="J77">
        <v>2111.02</v>
      </c>
      <c r="K77" s="21" t="s">
        <v>381</v>
      </c>
      <c r="L77">
        <v>9249.75</v>
      </c>
      <c r="M77" s="23">
        <v>22.822454660936781</v>
      </c>
      <c r="N77" t="str">
        <f>IF(Sales_department[[#This Row],[Revenue]]&gt;10000,"High",IF(Sales_department[[#This Row],[Revenue]]&gt;5000,"Medium","Low"))</f>
        <v>Medium</v>
      </c>
    </row>
    <row r="78" spans="1:14" x14ac:dyDescent="0.25">
      <c r="A78" s="21" t="s">
        <v>433</v>
      </c>
      <c r="B78" s="21" t="s">
        <v>343</v>
      </c>
      <c r="C78" s="21" t="s">
        <v>344</v>
      </c>
      <c r="D78" s="21" t="s">
        <v>354</v>
      </c>
      <c r="E78" s="21">
        <v>9845713875</v>
      </c>
      <c r="F78" s="21" t="s">
        <v>223</v>
      </c>
      <c r="G78" s="21" t="s">
        <v>281</v>
      </c>
      <c r="H78">
        <v>1896.1</v>
      </c>
      <c r="I78">
        <v>5</v>
      </c>
      <c r="J78">
        <v>2676.46</v>
      </c>
      <c r="K78" s="21" t="s">
        <v>381</v>
      </c>
      <c r="L78">
        <v>9480.5</v>
      </c>
      <c r="M78" s="23">
        <v>28.231211433996094</v>
      </c>
      <c r="N78" t="str">
        <f>IF(Sales_department[[#This Row],[Revenue]]&gt;10000,"High",IF(Sales_department[[#This Row],[Revenue]]&gt;5000,"Medium","Low"))</f>
        <v>Medium</v>
      </c>
    </row>
    <row r="79" spans="1:14" x14ac:dyDescent="0.25">
      <c r="A79" s="21" t="s">
        <v>434</v>
      </c>
      <c r="B79" s="21" t="s">
        <v>353</v>
      </c>
      <c r="C79" s="21" t="s">
        <v>344</v>
      </c>
      <c r="D79" s="21" t="s">
        <v>363</v>
      </c>
      <c r="E79" s="21">
        <v>85</v>
      </c>
      <c r="F79" s="21" t="s">
        <v>349</v>
      </c>
      <c r="G79" s="21" t="s">
        <v>285</v>
      </c>
      <c r="H79">
        <v>1799.6</v>
      </c>
      <c r="I79">
        <v>6</v>
      </c>
      <c r="J79">
        <v>1551.79</v>
      </c>
      <c r="K79" s="21" t="s">
        <v>358</v>
      </c>
      <c r="L79">
        <v>10797.599999999999</v>
      </c>
      <c r="M79" s="23">
        <v>14.371619619174632</v>
      </c>
      <c r="N79" t="str">
        <f>IF(Sales_department[[#This Row],[Revenue]]&gt;10000,"High",IF(Sales_department[[#This Row],[Revenue]]&gt;5000,"Medium","Low"))</f>
        <v>High</v>
      </c>
    </row>
    <row r="80" spans="1:14" x14ac:dyDescent="0.25">
      <c r="A80" s="21" t="s">
        <v>435</v>
      </c>
      <c r="B80" s="21" t="s">
        <v>374</v>
      </c>
      <c r="C80" s="21" t="s">
        <v>344</v>
      </c>
      <c r="D80" s="21" t="s">
        <v>345</v>
      </c>
      <c r="E80" s="21">
        <v>9304184751</v>
      </c>
      <c r="F80" s="21" t="s">
        <v>349</v>
      </c>
      <c r="G80" s="21" t="s">
        <v>396</v>
      </c>
      <c r="H80">
        <v>1330.26</v>
      </c>
      <c r="I80">
        <v>2</v>
      </c>
      <c r="J80">
        <v>669.54</v>
      </c>
      <c r="K80" s="21" t="s">
        <v>225</v>
      </c>
      <c r="L80">
        <v>2660.52</v>
      </c>
      <c r="M80" s="23">
        <v>25.165757070046457</v>
      </c>
      <c r="N80" t="str">
        <f>IF(Sales_department[[#This Row],[Revenue]]&gt;10000,"High",IF(Sales_department[[#This Row],[Revenue]]&gt;5000,"Medium","Low"))</f>
        <v>Low</v>
      </c>
    </row>
    <row r="81" spans="1:14" x14ac:dyDescent="0.25">
      <c r="A81" s="21" t="s">
        <v>436</v>
      </c>
      <c r="B81" s="21" t="s">
        <v>374</v>
      </c>
      <c r="C81" s="21" t="s">
        <v>344</v>
      </c>
      <c r="D81" s="21" t="s">
        <v>371</v>
      </c>
      <c r="E81" s="21">
        <v>9141039856</v>
      </c>
      <c r="F81" s="21" t="s">
        <v>223</v>
      </c>
      <c r="G81" s="21" t="s">
        <v>247</v>
      </c>
      <c r="H81">
        <v>322.57</v>
      </c>
      <c r="I81">
        <v>13</v>
      </c>
      <c r="J81">
        <v>684.45</v>
      </c>
      <c r="K81" s="21" t="s">
        <v>381</v>
      </c>
      <c r="L81">
        <v>4193.41</v>
      </c>
      <c r="M81" s="23">
        <v>16.322038627274701</v>
      </c>
      <c r="N81" t="str">
        <f>IF(Sales_department[[#This Row],[Revenue]]&gt;10000,"High",IF(Sales_department[[#This Row],[Revenue]]&gt;5000,"Medium","Low"))</f>
        <v>Low</v>
      </c>
    </row>
    <row r="82" spans="1:14" x14ac:dyDescent="0.25">
      <c r="A82" s="21" t="s">
        <v>437</v>
      </c>
      <c r="B82" s="21" t="s">
        <v>362</v>
      </c>
      <c r="C82" s="21" t="s">
        <v>344</v>
      </c>
      <c r="D82" s="21" t="s">
        <v>363</v>
      </c>
      <c r="E82" s="21">
        <v>9640589740</v>
      </c>
      <c r="F82" s="21" t="s">
        <v>223</v>
      </c>
      <c r="G82" s="21" t="s">
        <v>281</v>
      </c>
      <c r="H82">
        <v>1510.41</v>
      </c>
      <c r="I82">
        <v>1</v>
      </c>
      <c r="J82">
        <v>434.79</v>
      </c>
      <c r="K82" s="21" t="s">
        <v>351</v>
      </c>
      <c r="L82">
        <v>1510.41</v>
      </c>
      <c r="M82" s="23">
        <v>28.786223608159371</v>
      </c>
      <c r="N82" t="str">
        <f>IF(Sales_department[[#This Row],[Revenue]]&gt;10000,"High",IF(Sales_department[[#This Row],[Revenue]]&gt;5000,"Medium","Low"))</f>
        <v>Low</v>
      </c>
    </row>
    <row r="83" spans="1:14" x14ac:dyDescent="0.25">
      <c r="A83" s="21" t="s">
        <v>438</v>
      </c>
      <c r="B83" s="21" t="s">
        <v>353</v>
      </c>
      <c r="C83" s="21" t="s">
        <v>344</v>
      </c>
      <c r="D83" s="21" t="s">
        <v>345</v>
      </c>
      <c r="E83" s="21">
        <v>9406517796</v>
      </c>
      <c r="F83" s="21" t="s">
        <v>346</v>
      </c>
      <c r="G83" s="21" t="s">
        <v>245</v>
      </c>
      <c r="H83">
        <v>1085.52</v>
      </c>
      <c r="I83">
        <v>4</v>
      </c>
      <c r="J83">
        <v>749.57</v>
      </c>
      <c r="K83" s="21" t="s">
        <v>225</v>
      </c>
      <c r="L83">
        <v>4342.08</v>
      </c>
      <c r="M83" s="23">
        <v>17.262924681258752</v>
      </c>
      <c r="N83" t="str">
        <f>IF(Sales_department[[#This Row],[Revenue]]&gt;10000,"High",IF(Sales_department[[#This Row],[Revenue]]&gt;5000,"Medium","Low"))</f>
        <v>Low</v>
      </c>
    </row>
    <row r="84" spans="1:14" x14ac:dyDescent="0.25">
      <c r="A84" s="21" t="s">
        <v>439</v>
      </c>
      <c r="B84" s="21" t="s">
        <v>353</v>
      </c>
      <c r="C84" s="21" t="s">
        <v>344</v>
      </c>
      <c r="D84" s="21" t="s">
        <v>367</v>
      </c>
      <c r="E84" s="21">
        <v>9606169051</v>
      </c>
      <c r="F84" s="21" t="s">
        <v>349</v>
      </c>
      <c r="G84" s="21" t="s">
        <v>350</v>
      </c>
      <c r="H84">
        <v>1441.79</v>
      </c>
      <c r="I84">
        <v>14</v>
      </c>
      <c r="J84">
        <v>3929.03</v>
      </c>
      <c r="K84" s="21" t="s">
        <v>381</v>
      </c>
      <c r="L84">
        <v>20185.059999999998</v>
      </c>
      <c r="M84" s="23">
        <v>19.465039985018624</v>
      </c>
      <c r="N84" t="str">
        <f>IF(Sales_department[[#This Row],[Revenue]]&gt;10000,"High",IF(Sales_department[[#This Row],[Revenue]]&gt;5000,"Medium","Low"))</f>
        <v>High</v>
      </c>
    </row>
    <row r="85" spans="1:14" x14ac:dyDescent="0.25">
      <c r="A85" s="21" t="s">
        <v>440</v>
      </c>
      <c r="B85" s="21" t="s">
        <v>374</v>
      </c>
      <c r="C85" s="21" t="s">
        <v>344</v>
      </c>
      <c r="D85" s="21" t="s">
        <v>371</v>
      </c>
      <c r="E85" s="21">
        <v>9350461925</v>
      </c>
      <c r="F85" s="21" t="s">
        <v>349</v>
      </c>
      <c r="G85" s="21" t="s">
        <v>396</v>
      </c>
      <c r="H85">
        <v>686.64</v>
      </c>
      <c r="I85">
        <v>8</v>
      </c>
      <c r="J85">
        <v>878.07</v>
      </c>
      <c r="K85" s="21" t="s">
        <v>225</v>
      </c>
      <c r="L85">
        <v>5493.12</v>
      </c>
      <c r="M85" s="23">
        <v>15.984904753582665</v>
      </c>
      <c r="N85" t="str">
        <f>IF(Sales_department[[#This Row],[Revenue]]&gt;10000,"High",IF(Sales_department[[#This Row],[Revenue]]&gt;5000,"Medium","Low"))</f>
        <v>Medium</v>
      </c>
    </row>
    <row r="86" spans="1:14" x14ac:dyDescent="0.25">
      <c r="A86" s="21" t="s">
        <v>441</v>
      </c>
      <c r="B86" s="21" t="s">
        <v>343</v>
      </c>
      <c r="C86" s="21" t="s">
        <v>344</v>
      </c>
      <c r="D86" s="21" t="s">
        <v>354</v>
      </c>
      <c r="E86" s="21">
        <v>9996467468</v>
      </c>
      <c r="F86" s="21" t="s">
        <v>346</v>
      </c>
      <c r="G86" s="21" t="s">
        <v>245</v>
      </c>
      <c r="H86">
        <v>2830.64</v>
      </c>
      <c r="I86">
        <v>6</v>
      </c>
      <c r="J86">
        <v>1830.75</v>
      </c>
      <c r="K86" s="21" t="s">
        <v>225</v>
      </c>
      <c r="L86">
        <v>16983.84</v>
      </c>
      <c r="M86" s="23">
        <v>10.779364384026227</v>
      </c>
      <c r="N86" t="str">
        <f>IF(Sales_department[[#This Row],[Revenue]]&gt;10000,"High",IF(Sales_department[[#This Row],[Revenue]]&gt;5000,"Medium","Low"))</f>
        <v>High</v>
      </c>
    </row>
    <row r="87" spans="1:14" x14ac:dyDescent="0.25">
      <c r="A87" s="21" t="s">
        <v>442</v>
      </c>
      <c r="B87" s="21" t="s">
        <v>343</v>
      </c>
      <c r="C87" s="21" t="s">
        <v>344</v>
      </c>
      <c r="D87" s="21" t="s">
        <v>371</v>
      </c>
      <c r="E87" s="21">
        <v>9128345710</v>
      </c>
      <c r="F87" s="21" t="s">
        <v>223</v>
      </c>
      <c r="G87" s="21" t="s">
        <v>253</v>
      </c>
      <c r="H87">
        <v>2619.08</v>
      </c>
      <c r="I87">
        <v>6</v>
      </c>
      <c r="J87">
        <v>4245.2299999999996</v>
      </c>
      <c r="K87" s="21" t="s">
        <v>351</v>
      </c>
      <c r="L87">
        <v>15714.48</v>
      </c>
      <c r="M87" s="23">
        <v>27.014765999256735</v>
      </c>
      <c r="N87" t="str">
        <f>IF(Sales_department[[#This Row],[Revenue]]&gt;10000,"High",IF(Sales_department[[#This Row],[Revenue]]&gt;5000,"Medium","Low"))</f>
        <v>High</v>
      </c>
    </row>
    <row r="88" spans="1:14" x14ac:dyDescent="0.25">
      <c r="A88" s="21" t="s">
        <v>443</v>
      </c>
      <c r="B88" s="21" t="s">
        <v>362</v>
      </c>
      <c r="C88" s="21" t="s">
        <v>344</v>
      </c>
      <c r="D88" s="21" t="s">
        <v>369</v>
      </c>
      <c r="E88" s="21">
        <v>9392055351</v>
      </c>
      <c r="F88" s="21" t="s">
        <v>346</v>
      </c>
      <c r="G88" s="21" t="s">
        <v>237</v>
      </c>
      <c r="H88">
        <v>503.93</v>
      </c>
      <c r="I88">
        <v>11</v>
      </c>
      <c r="J88">
        <v>1183.48</v>
      </c>
      <c r="K88" s="21" t="s">
        <v>358</v>
      </c>
      <c r="L88">
        <v>5543.2300000000005</v>
      </c>
      <c r="M88" s="23">
        <v>21.35000712580932</v>
      </c>
      <c r="N88" t="str">
        <f>IF(Sales_department[[#This Row],[Revenue]]&gt;10000,"High",IF(Sales_department[[#This Row],[Revenue]]&gt;5000,"Medium","Low"))</f>
        <v>Medium</v>
      </c>
    </row>
    <row r="89" spans="1:14" x14ac:dyDescent="0.25">
      <c r="A89" s="21" t="s">
        <v>444</v>
      </c>
      <c r="B89" s="21" t="s">
        <v>353</v>
      </c>
      <c r="C89" s="21" t="s">
        <v>344</v>
      </c>
      <c r="D89" s="21" t="s">
        <v>363</v>
      </c>
      <c r="E89" s="21">
        <v>9980141994</v>
      </c>
      <c r="F89" s="21" t="s">
        <v>349</v>
      </c>
      <c r="G89" s="21" t="s">
        <v>285</v>
      </c>
      <c r="H89">
        <v>467.71</v>
      </c>
      <c r="I89">
        <v>12</v>
      </c>
      <c r="J89">
        <v>1223.23</v>
      </c>
      <c r="K89" s="21" t="s">
        <v>225</v>
      </c>
      <c r="L89">
        <v>5612.5199999999995</v>
      </c>
      <c r="M89" s="23">
        <v>21.794666210543571</v>
      </c>
      <c r="N89" t="str">
        <f>IF(Sales_department[[#This Row],[Revenue]]&gt;10000,"High",IF(Sales_department[[#This Row],[Revenue]]&gt;5000,"Medium","Low"))</f>
        <v>Medium</v>
      </c>
    </row>
    <row r="90" spans="1:14" x14ac:dyDescent="0.25">
      <c r="A90" s="21" t="s">
        <v>445</v>
      </c>
      <c r="B90" s="21" t="s">
        <v>343</v>
      </c>
      <c r="C90" s="21" t="s">
        <v>344</v>
      </c>
      <c r="D90" s="21" t="s">
        <v>367</v>
      </c>
      <c r="E90" s="21">
        <v>9403999543</v>
      </c>
      <c r="F90" s="21" t="s">
        <v>349</v>
      </c>
      <c r="G90" s="21" t="s">
        <v>365</v>
      </c>
      <c r="H90">
        <v>2307.34</v>
      </c>
      <c r="I90">
        <v>14</v>
      </c>
      <c r="J90">
        <v>3571.15</v>
      </c>
      <c r="K90" s="21" t="s">
        <v>381</v>
      </c>
      <c r="L90">
        <v>32302.760000000002</v>
      </c>
      <c r="M90" s="23">
        <v>11.055247291562702</v>
      </c>
      <c r="N90" t="str">
        <f>IF(Sales_department[[#This Row],[Revenue]]&gt;10000,"High",IF(Sales_department[[#This Row],[Revenue]]&gt;5000,"Medium","Low"))</f>
        <v>High</v>
      </c>
    </row>
    <row r="91" spans="1:14" x14ac:dyDescent="0.25">
      <c r="A91" s="21" t="s">
        <v>446</v>
      </c>
      <c r="B91" s="21" t="s">
        <v>374</v>
      </c>
      <c r="C91" s="21" t="s">
        <v>344</v>
      </c>
      <c r="D91" s="21" t="s">
        <v>383</v>
      </c>
      <c r="E91" s="21">
        <v>9164427200</v>
      </c>
      <c r="F91" s="21" t="s">
        <v>223</v>
      </c>
      <c r="G91" s="21" t="s">
        <v>281</v>
      </c>
      <c r="H91">
        <v>1513.57</v>
      </c>
      <c r="I91">
        <v>14</v>
      </c>
      <c r="J91">
        <v>5761.18</v>
      </c>
      <c r="K91" s="21" t="s">
        <v>225</v>
      </c>
      <c r="L91">
        <v>21189.98</v>
      </c>
      <c r="M91" s="23">
        <v>27.188227643442797</v>
      </c>
      <c r="N91" t="str">
        <f>IF(Sales_department[[#This Row],[Revenue]]&gt;10000,"High",IF(Sales_department[[#This Row],[Revenue]]&gt;5000,"Medium","Low"))</f>
        <v>High</v>
      </c>
    </row>
    <row r="92" spans="1:14" x14ac:dyDescent="0.25">
      <c r="A92" s="21" t="s">
        <v>447</v>
      </c>
      <c r="B92" s="21" t="s">
        <v>374</v>
      </c>
      <c r="C92" s="21" t="s">
        <v>344</v>
      </c>
      <c r="D92" s="21" t="s">
        <v>367</v>
      </c>
      <c r="E92" s="21">
        <v>858947</v>
      </c>
      <c r="F92" s="21" t="s">
        <v>349</v>
      </c>
      <c r="G92" s="21" t="s">
        <v>396</v>
      </c>
      <c r="H92">
        <v>2213.4499999999998</v>
      </c>
      <c r="I92">
        <v>3</v>
      </c>
      <c r="J92">
        <v>867.33</v>
      </c>
      <c r="K92" s="21" t="s">
        <v>381</v>
      </c>
      <c r="L92">
        <v>6640.3499999999995</v>
      </c>
      <c r="M92" s="23">
        <v>13.06151031195645</v>
      </c>
      <c r="N92" t="str">
        <f>IF(Sales_department[[#This Row],[Revenue]]&gt;10000,"High",IF(Sales_department[[#This Row],[Revenue]]&gt;5000,"Medium","Low"))</f>
        <v>Medium</v>
      </c>
    </row>
    <row r="93" spans="1:14" x14ac:dyDescent="0.25">
      <c r="A93" s="21" t="s">
        <v>448</v>
      </c>
      <c r="B93" s="21" t="s">
        <v>353</v>
      </c>
      <c r="C93" s="21" t="s">
        <v>344</v>
      </c>
      <c r="D93" s="21" t="s">
        <v>363</v>
      </c>
      <c r="E93" s="21">
        <v>9789825611</v>
      </c>
      <c r="F93" s="21" t="s">
        <v>346</v>
      </c>
      <c r="G93" s="21" t="s">
        <v>245</v>
      </c>
      <c r="H93">
        <v>384.21</v>
      </c>
      <c r="I93">
        <v>5</v>
      </c>
      <c r="J93">
        <v>354.16</v>
      </c>
      <c r="K93" s="21" t="s">
        <v>381</v>
      </c>
      <c r="L93">
        <v>1921.05</v>
      </c>
      <c r="M93" s="23">
        <v>18.435751281851072</v>
      </c>
      <c r="N93" t="str">
        <f>IF(Sales_department[[#This Row],[Revenue]]&gt;10000,"High",IF(Sales_department[[#This Row],[Revenue]]&gt;5000,"Medium","Low"))</f>
        <v>Low</v>
      </c>
    </row>
    <row r="94" spans="1:14" x14ac:dyDescent="0.25">
      <c r="A94" s="21" t="s">
        <v>449</v>
      </c>
      <c r="B94" s="21" t="s">
        <v>362</v>
      </c>
      <c r="C94" s="21" t="s">
        <v>344</v>
      </c>
      <c r="D94" s="21" t="s">
        <v>367</v>
      </c>
      <c r="E94" s="21">
        <v>9371462183</v>
      </c>
      <c r="F94" s="21" t="s">
        <v>223</v>
      </c>
      <c r="G94" s="21" t="s">
        <v>253</v>
      </c>
      <c r="H94">
        <v>498.41</v>
      </c>
      <c r="I94">
        <v>7</v>
      </c>
      <c r="J94">
        <v>435.36</v>
      </c>
      <c r="K94" s="21" t="s">
        <v>241</v>
      </c>
      <c r="L94">
        <v>3488.8700000000003</v>
      </c>
      <c r="M94" s="23">
        <v>12.478538896548166</v>
      </c>
      <c r="N94" t="str">
        <f>IF(Sales_department[[#This Row],[Revenue]]&gt;10000,"High",IF(Sales_department[[#This Row],[Revenue]]&gt;5000,"Medium","Low"))</f>
        <v>Low</v>
      </c>
    </row>
    <row r="95" spans="1:14" x14ac:dyDescent="0.25">
      <c r="A95" s="21" t="s">
        <v>450</v>
      </c>
      <c r="B95" s="21" t="s">
        <v>374</v>
      </c>
      <c r="C95" s="21" t="s">
        <v>344</v>
      </c>
      <c r="D95" s="21" t="s">
        <v>367</v>
      </c>
      <c r="E95" s="21">
        <v>9444893207</v>
      </c>
      <c r="F95" s="21" t="s">
        <v>346</v>
      </c>
      <c r="G95" s="21" t="s">
        <v>245</v>
      </c>
      <c r="H95">
        <v>1599.24</v>
      </c>
      <c r="I95">
        <v>10</v>
      </c>
      <c r="J95">
        <v>4368.75</v>
      </c>
      <c r="K95" s="21" t="s">
        <v>241</v>
      </c>
      <c r="L95">
        <v>15992.4</v>
      </c>
      <c r="M95" s="23">
        <v>27.317663390110305</v>
      </c>
      <c r="N95" t="str">
        <f>IF(Sales_department[[#This Row],[Revenue]]&gt;10000,"High",IF(Sales_department[[#This Row],[Revenue]]&gt;5000,"Medium","Low"))</f>
        <v>High</v>
      </c>
    </row>
    <row r="96" spans="1:14" x14ac:dyDescent="0.25">
      <c r="A96" s="21" t="s">
        <v>451</v>
      </c>
      <c r="B96" s="21" t="s">
        <v>343</v>
      </c>
      <c r="C96" s="21" t="s">
        <v>344</v>
      </c>
      <c r="D96" s="21" t="s">
        <v>371</v>
      </c>
      <c r="E96" s="21">
        <v>9339358166</v>
      </c>
      <c r="F96" s="21" t="s">
        <v>349</v>
      </c>
      <c r="G96" s="21" t="s">
        <v>357</v>
      </c>
      <c r="H96">
        <v>962.07</v>
      </c>
      <c r="I96">
        <v>9</v>
      </c>
      <c r="J96">
        <v>905.89</v>
      </c>
      <c r="K96" s="21" t="s">
        <v>241</v>
      </c>
      <c r="L96">
        <v>8658.630000000001</v>
      </c>
      <c r="M96" s="23">
        <v>10.462278674570918</v>
      </c>
      <c r="N96" t="str">
        <f>IF(Sales_department[[#This Row],[Revenue]]&gt;10000,"High",IF(Sales_department[[#This Row],[Revenue]]&gt;5000,"Medium","Low"))</f>
        <v>Medium</v>
      </c>
    </row>
    <row r="97" spans="1:14" x14ac:dyDescent="0.25">
      <c r="A97" s="21" t="s">
        <v>452</v>
      </c>
      <c r="B97" s="21" t="s">
        <v>343</v>
      </c>
      <c r="C97" s="21" t="s">
        <v>344</v>
      </c>
      <c r="D97" s="21" t="s">
        <v>354</v>
      </c>
      <c r="E97" s="21">
        <v>9119201960</v>
      </c>
      <c r="F97" s="21" t="s">
        <v>349</v>
      </c>
      <c r="G97" s="21" t="s">
        <v>285</v>
      </c>
      <c r="H97">
        <v>1673.22</v>
      </c>
      <c r="I97">
        <v>7</v>
      </c>
      <c r="J97">
        <v>1935.04</v>
      </c>
      <c r="K97" s="21" t="s">
        <v>381</v>
      </c>
      <c r="L97">
        <v>11712.54</v>
      </c>
      <c r="M97" s="23">
        <v>16.521096192627731</v>
      </c>
      <c r="N97" t="str">
        <f>IF(Sales_department[[#This Row],[Revenue]]&gt;10000,"High",IF(Sales_department[[#This Row],[Revenue]]&gt;5000,"Medium","Low"))</f>
        <v>High</v>
      </c>
    </row>
    <row r="98" spans="1:14" x14ac:dyDescent="0.25">
      <c r="A98" s="21" t="s">
        <v>453</v>
      </c>
      <c r="B98" s="21" t="s">
        <v>343</v>
      </c>
      <c r="C98" s="21" t="s">
        <v>344</v>
      </c>
      <c r="D98" s="21" t="s">
        <v>363</v>
      </c>
      <c r="E98" s="21">
        <v>9161700373</v>
      </c>
      <c r="F98" s="21" t="s">
        <v>346</v>
      </c>
      <c r="G98" s="21" t="s">
        <v>355</v>
      </c>
      <c r="H98">
        <v>791.24</v>
      </c>
      <c r="I98">
        <v>4</v>
      </c>
      <c r="J98">
        <v>366.17</v>
      </c>
      <c r="K98" s="21" t="s">
        <v>241</v>
      </c>
      <c r="L98">
        <v>3164.96</v>
      </c>
      <c r="M98" s="23">
        <v>11.569498508669936</v>
      </c>
      <c r="N98" t="str">
        <f>IF(Sales_department[[#This Row],[Revenue]]&gt;10000,"High",IF(Sales_department[[#This Row],[Revenue]]&gt;5000,"Medium","Low"))</f>
        <v>Low</v>
      </c>
    </row>
    <row r="99" spans="1:14" x14ac:dyDescent="0.25">
      <c r="A99" s="21" t="s">
        <v>454</v>
      </c>
      <c r="B99" s="21" t="s">
        <v>353</v>
      </c>
      <c r="C99" s="21" t="s">
        <v>344</v>
      </c>
      <c r="D99" s="21" t="s">
        <v>383</v>
      </c>
      <c r="E99" s="21">
        <v>9242580997</v>
      </c>
      <c r="F99" s="21" t="s">
        <v>346</v>
      </c>
      <c r="G99" s="21" t="s">
        <v>237</v>
      </c>
      <c r="H99">
        <v>1210.8599999999999</v>
      </c>
      <c r="I99">
        <v>3</v>
      </c>
      <c r="J99">
        <v>698.75</v>
      </c>
      <c r="K99" s="21" t="s">
        <v>241</v>
      </c>
      <c r="L99">
        <v>3632.58</v>
      </c>
      <c r="M99" s="23">
        <v>19.235639683090255</v>
      </c>
      <c r="N99" t="str">
        <f>IF(Sales_department[[#This Row],[Revenue]]&gt;10000,"High",IF(Sales_department[[#This Row],[Revenue]]&gt;5000,"Medium","Low"))</f>
        <v>Low</v>
      </c>
    </row>
    <row r="100" spans="1:14" x14ac:dyDescent="0.25">
      <c r="A100" s="21" t="s">
        <v>455</v>
      </c>
      <c r="B100" s="21" t="s">
        <v>374</v>
      </c>
      <c r="C100" s="21" t="s">
        <v>344</v>
      </c>
      <c r="D100" s="21" t="s">
        <v>369</v>
      </c>
      <c r="E100" s="21">
        <v>9370714466</v>
      </c>
      <c r="F100" s="21" t="s">
        <v>346</v>
      </c>
      <c r="G100" s="21" t="s">
        <v>355</v>
      </c>
      <c r="H100">
        <v>619.57000000000005</v>
      </c>
      <c r="I100">
        <v>7</v>
      </c>
      <c r="J100">
        <v>562.75</v>
      </c>
      <c r="K100" s="21" t="s">
        <v>241</v>
      </c>
      <c r="L100">
        <v>4336.9900000000007</v>
      </c>
      <c r="M100" s="23">
        <v>12.975589060615771</v>
      </c>
      <c r="N100" t="str">
        <f>IF(Sales_department[[#This Row],[Revenue]]&gt;10000,"High",IF(Sales_department[[#This Row],[Revenue]]&gt;5000,"Medium","Low"))</f>
        <v>Low</v>
      </c>
    </row>
    <row r="101" spans="1:14" x14ac:dyDescent="0.25">
      <c r="A101" s="21" t="s">
        <v>456</v>
      </c>
      <c r="B101" s="21" t="s">
        <v>343</v>
      </c>
      <c r="C101" s="21" t="s">
        <v>344</v>
      </c>
      <c r="D101" s="21" t="s">
        <v>367</v>
      </c>
      <c r="E101" s="21">
        <v>9427647839</v>
      </c>
      <c r="F101" s="21" t="s">
        <v>223</v>
      </c>
      <c r="G101" s="21" t="s">
        <v>378</v>
      </c>
      <c r="H101">
        <v>308.5</v>
      </c>
      <c r="I101">
        <v>15</v>
      </c>
      <c r="J101">
        <v>802.96</v>
      </c>
      <c r="K101" s="21" t="s">
        <v>225</v>
      </c>
      <c r="L101">
        <v>4627.5</v>
      </c>
      <c r="M101" s="23">
        <v>17.351917882225827</v>
      </c>
      <c r="N101" t="str">
        <f>IF(Sales_department[[#This Row],[Revenue]]&gt;10000,"High",IF(Sales_department[[#This Row],[Revenue]]&gt;5000,"Medium","Low"))</f>
        <v>Low</v>
      </c>
    </row>
    <row r="102" spans="1:14" x14ac:dyDescent="0.25">
      <c r="A102" s="21" t="s">
        <v>457</v>
      </c>
      <c r="B102" s="21" t="s">
        <v>362</v>
      </c>
      <c r="C102" s="21" t="s">
        <v>344</v>
      </c>
      <c r="D102" s="21" t="s">
        <v>367</v>
      </c>
      <c r="E102" s="21">
        <v>9942075195</v>
      </c>
      <c r="F102" s="21" t="s">
        <v>346</v>
      </c>
      <c r="G102" s="21" t="s">
        <v>245</v>
      </c>
      <c r="H102">
        <v>1853.37</v>
      </c>
      <c r="I102">
        <v>5</v>
      </c>
      <c r="J102">
        <v>1661.2</v>
      </c>
      <c r="K102" s="21" t="s">
        <v>225</v>
      </c>
      <c r="L102">
        <v>9266.8499999999985</v>
      </c>
      <c r="M102" s="23">
        <v>17.92626404873285</v>
      </c>
      <c r="N102" t="str">
        <f>IF(Sales_department[[#This Row],[Revenue]]&gt;10000,"High",IF(Sales_department[[#This Row],[Revenue]]&gt;5000,"Medium","Low"))</f>
        <v>Medium</v>
      </c>
    </row>
    <row r="103" spans="1:14" x14ac:dyDescent="0.25">
      <c r="A103" s="21" t="s">
        <v>458</v>
      </c>
      <c r="B103" s="21" t="s">
        <v>353</v>
      </c>
      <c r="C103" s="21" t="s">
        <v>344</v>
      </c>
      <c r="D103" s="21" t="s">
        <v>371</v>
      </c>
      <c r="E103" s="21">
        <v>9857569233</v>
      </c>
      <c r="F103" s="21" t="s">
        <v>346</v>
      </c>
      <c r="G103" s="21" t="s">
        <v>380</v>
      </c>
      <c r="H103">
        <v>2501.48</v>
      </c>
      <c r="I103">
        <v>6</v>
      </c>
      <c r="J103">
        <v>4142.5200000000004</v>
      </c>
      <c r="K103" s="21" t="s">
        <v>351</v>
      </c>
      <c r="L103">
        <v>15008.880000000001</v>
      </c>
      <c r="M103" s="23">
        <v>27.600460527367797</v>
      </c>
      <c r="N103" t="str">
        <f>IF(Sales_department[[#This Row],[Revenue]]&gt;10000,"High",IF(Sales_department[[#This Row],[Revenue]]&gt;5000,"Medium","Low"))</f>
        <v>High</v>
      </c>
    </row>
    <row r="104" spans="1:14" x14ac:dyDescent="0.25">
      <c r="A104" s="21" t="s">
        <v>459</v>
      </c>
      <c r="B104" s="21" t="s">
        <v>353</v>
      </c>
      <c r="C104" s="21" t="s">
        <v>344</v>
      </c>
      <c r="D104" s="21" t="s">
        <v>345</v>
      </c>
      <c r="E104" s="21">
        <v>9944969047</v>
      </c>
      <c r="F104" s="21" t="s">
        <v>223</v>
      </c>
      <c r="G104" s="21" t="s">
        <v>240</v>
      </c>
      <c r="H104">
        <v>2596.13</v>
      </c>
      <c r="I104">
        <v>5</v>
      </c>
      <c r="J104">
        <v>1453.33</v>
      </c>
      <c r="K104" s="21" t="s">
        <v>351</v>
      </c>
      <c r="L104">
        <v>12980.650000000001</v>
      </c>
      <c r="M104" s="23">
        <v>11.196126542199348</v>
      </c>
      <c r="N104" t="str">
        <f>IF(Sales_department[[#This Row],[Revenue]]&gt;10000,"High",IF(Sales_department[[#This Row],[Revenue]]&gt;5000,"Medium","Low"))</f>
        <v>High</v>
      </c>
    </row>
    <row r="105" spans="1:14" x14ac:dyDescent="0.25">
      <c r="A105" s="21" t="s">
        <v>460</v>
      </c>
      <c r="B105" s="21" t="s">
        <v>343</v>
      </c>
      <c r="C105" s="21" t="s">
        <v>344</v>
      </c>
      <c r="D105" s="21" t="s">
        <v>354</v>
      </c>
      <c r="E105" s="21">
        <v>56428436</v>
      </c>
      <c r="F105" s="21" t="s">
        <v>223</v>
      </c>
      <c r="G105" s="21" t="s">
        <v>253</v>
      </c>
      <c r="H105">
        <v>2209.52</v>
      </c>
      <c r="I105">
        <v>6</v>
      </c>
      <c r="J105">
        <v>3760.49</v>
      </c>
      <c r="K105" s="21" t="s">
        <v>351</v>
      </c>
      <c r="L105">
        <v>13257.119999999999</v>
      </c>
      <c r="M105" s="23">
        <v>28.365813992782744</v>
      </c>
      <c r="N105" t="str">
        <f>IF(Sales_department[[#This Row],[Revenue]]&gt;10000,"High",IF(Sales_department[[#This Row],[Revenue]]&gt;5000,"Medium","Low"))</f>
        <v>High</v>
      </c>
    </row>
    <row r="106" spans="1:14" x14ac:dyDescent="0.25">
      <c r="A106" s="21" t="s">
        <v>461</v>
      </c>
      <c r="B106" s="21" t="s">
        <v>362</v>
      </c>
      <c r="C106" s="21" t="s">
        <v>344</v>
      </c>
      <c r="D106" s="21" t="s">
        <v>369</v>
      </c>
      <c r="E106" s="21">
        <v>9705241364</v>
      </c>
      <c r="F106" s="21" t="s">
        <v>349</v>
      </c>
      <c r="G106" s="21" t="s">
        <v>357</v>
      </c>
      <c r="H106">
        <v>458.7</v>
      </c>
      <c r="I106">
        <v>7</v>
      </c>
      <c r="J106">
        <v>839.97</v>
      </c>
      <c r="K106" s="21" t="s">
        <v>351</v>
      </c>
      <c r="L106">
        <v>3210.9</v>
      </c>
      <c r="M106" s="23">
        <v>26.159955152760912</v>
      </c>
      <c r="N106" t="str">
        <f>IF(Sales_department[[#This Row],[Revenue]]&gt;10000,"High",IF(Sales_department[[#This Row],[Revenue]]&gt;5000,"Medium","Low"))</f>
        <v>Low</v>
      </c>
    </row>
    <row r="107" spans="1:14" x14ac:dyDescent="0.25">
      <c r="A107" s="21" t="s">
        <v>462</v>
      </c>
      <c r="B107" s="21" t="s">
        <v>362</v>
      </c>
      <c r="C107" s="21" t="s">
        <v>344</v>
      </c>
      <c r="D107" s="21" t="s">
        <v>345</v>
      </c>
      <c r="E107" s="21">
        <v>9245776255</v>
      </c>
      <c r="F107" s="21" t="s">
        <v>346</v>
      </c>
      <c r="G107" s="21" t="s">
        <v>237</v>
      </c>
      <c r="H107">
        <v>833.16</v>
      </c>
      <c r="I107">
        <v>12</v>
      </c>
      <c r="J107">
        <v>2135.63</v>
      </c>
      <c r="K107" s="21" t="s">
        <v>351</v>
      </c>
      <c r="L107">
        <v>9997.92</v>
      </c>
      <c r="M107" s="23">
        <v>21.360743034551188</v>
      </c>
      <c r="N107" t="str">
        <f>IF(Sales_department[[#This Row],[Revenue]]&gt;10000,"High",IF(Sales_department[[#This Row],[Revenue]]&gt;5000,"Medium","Low"))</f>
        <v>Medium</v>
      </c>
    </row>
    <row r="108" spans="1:14" x14ac:dyDescent="0.25">
      <c r="A108" s="21" t="s">
        <v>463</v>
      </c>
      <c r="B108" s="21" t="s">
        <v>362</v>
      </c>
      <c r="C108" s="21" t="s">
        <v>344</v>
      </c>
      <c r="D108" s="21" t="s">
        <v>383</v>
      </c>
      <c r="E108" s="21">
        <v>9881212856</v>
      </c>
      <c r="F108" s="21" t="s">
        <v>346</v>
      </c>
      <c r="G108" s="21" t="s">
        <v>237</v>
      </c>
      <c r="H108">
        <v>238.37</v>
      </c>
      <c r="I108">
        <v>13</v>
      </c>
      <c r="J108">
        <v>586.94000000000005</v>
      </c>
      <c r="K108" s="21" t="s">
        <v>351</v>
      </c>
      <c r="L108">
        <v>3098.81</v>
      </c>
      <c r="M108" s="23">
        <v>18.940819217699701</v>
      </c>
      <c r="N108" t="str">
        <f>IF(Sales_department[[#This Row],[Revenue]]&gt;10000,"High",IF(Sales_department[[#This Row],[Revenue]]&gt;5000,"Medium","Low"))</f>
        <v>Low</v>
      </c>
    </row>
    <row r="109" spans="1:14" x14ac:dyDescent="0.25">
      <c r="A109" s="21" t="s">
        <v>464</v>
      </c>
      <c r="B109" s="21" t="s">
        <v>343</v>
      </c>
      <c r="C109" s="21" t="s">
        <v>344</v>
      </c>
      <c r="D109" s="21" t="s">
        <v>369</v>
      </c>
      <c r="E109" s="21">
        <v>9916091858</v>
      </c>
      <c r="F109" s="21" t="s">
        <v>346</v>
      </c>
      <c r="G109" s="21" t="s">
        <v>245</v>
      </c>
      <c r="H109">
        <v>820.05</v>
      </c>
      <c r="I109">
        <v>3</v>
      </c>
      <c r="J109">
        <v>419.41</v>
      </c>
      <c r="K109" s="21" t="s">
        <v>241</v>
      </c>
      <c r="L109">
        <v>2460.1499999999996</v>
      </c>
      <c r="M109" s="23">
        <v>17.048147470682686</v>
      </c>
      <c r="N109" t="str">
        <f>IF(Sales_department[[#This Row],[Revenue]]&gt;10000,"High",IF(Sales_department[[#This Row],[Revenue]]&gt;5000,"Medium","Low"))</f>
        <v>Low</v>
      </c>
    </row>
    <row r="110" spans="1:14" x14ac:dyDescent="0.25">
      <c r="A110" s="21" t="s">
        <v>465</v>
      </c>
      <c r="B110" s="21" t="s">
        <v>374</v>
      </c>
      <c r="C110" s="21" t="s">
        <v>344</v>
      </c>
      <c r="D110" s="21" t="s">
        <v>345</v>
      </c>
      <c r="E110" s="21">
        <v>9425191872</v>
      </c>
      <c r="F110" s="21" t="s">
        <v>223</v>
      </c>
      <c r="G110" s="21" t="s">
        <v>253</v>
      </c>
      <c r="H110">
        <v>2716.33</v>
      </c>
      <c r="I110">
        <v>8</v>
      </c>
      <c r="J110">
        <v>5513.14</v>
      </c>
      <c r="K110" s="21" t="s">
        <v>351</v>
      </c>
      <c r="L110">
        <v>21730.639999999999</v>
      </c>
      <c r="M110" s="23">
        <v>25.370352644929007</v>
      </c>
      <c r="N110" t="str">
        <f>IF(Sales_department[[#This Row],[Revenue]]&gt;10000,"High",IF(Sales_department[[#This Row],[Revenue]]&gt;5000,"Medium","Low"))</f>
        <v>High</v>
      </c>
    </row>
    <row r="111" spans="1:14" x14ac:dyDescent="0.25">
      <c r="A111" s="21" t="s">
        <v>466</v>
      </c>
      <c r="B111" s="21" t="s">
        <v>374</v>
      </c>
      <c r="C111" s="21" t="s">
        <v>344</v>
      </c>
      <c r="D111" s="21" t="s">
        <v>383</v>
      </c>
      <c r="E111" s="21">
        <v>9459337548</v>
      </c>
      <c r="F111" s="21" t="s">
        <v>346</v>
      </c>
      <c r="G111" s="21" t="s">
        <v>380</v>
      </c>
      <c r="H111">
        <v>1918.81</v>
      </c>
      <c r="I111">
        <v>1</v>
      </c>
      <c r="J111">
        <v>442.75</v>
      </c>
      <c r="K111" s="21" t="s">
        <v>358</v>
      </c>
      <c r="L111">
        <v>1918.81</v>
      </c>
      <c r="M111" s="23">
        <v>23.074197028366541</v>
      </c>
      <c r="N111" t="str">
        <f>IF(Sales_department[[#This Row],[Revenue]]&gt;10000,"High",IF(Sales_department[[#This Row],[Revenue]]&gt;5000,"Medium","Low"))</f>
        <v>Low</v>
      </c>
    </row>
  </sheetData>
  <conditionalFormatting sqref="M12:M111">
    <cfRule type="cellIs" dxfId="5" priority="5" operator="greaterThan">
      <formula>5000</formula>
    </cfRule>
    <cfRule type="cellIs" dxfId="4" priority="6" operator="greaterThan">
      <formula>5000</formula>
    </cfRule>
  </conditionalFormatting>
  <conditionalFormatting sqref="E12:E111">
    <cfRule type="expression" dxfId="3" priority="1">
      <formula>LEN(E12)&lt;&gt;10</formula>
    </cfRule>
    <cfRule type="expression" dxfId="2" priority="2">
      <formula>LEN(E)&lt;&gt;10</formula>
    </cfRule>
    <cfRule type="cellIs" dxfId="1" priority="3" operator="lessThan">
      <formula>10</formula>
    </cfRule>
    <cfRule type="cellIs" dxfId="0" priority="4" operator="lessThan">
      <formula>10</formula>
    </cfRule>
  </conditionalFormatting>
  <dataValidations count="1">
    <dataValidation type="whole" allowBlank="1" showInputMessage="1" showErrorMessage="1" sqref="I1:I1048576" xr:uid="{C59E781D-97F6-47D3-943D-D27898AC51ED}">
      <formula1>1</formula1>
      <formula2>20</formula2>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6465-BD24-4B8A-889E-E2647F432EDF}">
  <dimension ref="A2:C16"/>
  <sheetViews>
    <sheetView workbookViewId="0">
      <selection activeCell="E16" sqref="E16"/>
    </sheetView>
  </sheetViews>
  <sheetFormatPr defaultRowHeight="15" x14ac:dyDescent="0.25"/>
  <cols>
    <col min="1" max="1" width="26.7109375" customWidth="1"/>
    <col min="2" max="2" width="17.85546875" bestFit="1" customWidth="1"/>
    <col min="3" max="3" width="12.85546875" bestFit="1" customWidth="1"/>
  </cols>
  <sheetData>
    <row r="2" spans="1:3" ht="15.75" x14ac:dyDescent="0.25">
      <c r="A2" s="7" t="s">
        <v>478</v>
      </c>
      <c r="B2" s="7"/>
    </row>
    <row r="3" spans="1:3" ht="15.75" x14ac:dyDescent="0.25">
      <c r="A3" s="7" t="s">
        <v>479</v>
      </c>
      <c r="B3" s="7"/>
    </row>
    <row r="5" spans="1:3" x14ac:dyDescent="0.25">
      <c r="A5" s="14" t="s">
        <v>475</v>
      </c>
      <c r="B5" t="s">
        <v>468</v>
      </c>
      <c r="C5" t="s">
        <v>476</v>
      </c>
    </row>
    <row r="6" spans="1:3" x14ac:dyDescent="0.25">
      <c r="A6" s="15" t="s">
        <v>362</v>
      </c>
      <c r="B6" s="21">
        <v>304204.76999999996</v>
      </c>
      <c r="C6" s="23">
        <v>568.09396246686811</v>
      </c>
    </row>
    <row r="7" spans="1:3" x14ac:dyDescent="0.25">
      <c r="A7" s="15" t="s">
        <v>374</v>
      </c>
      <c r="B7" s="21">
        <v>290473.09000000003</v>
      </c>
      <c r="C7" s="23">
        <v>437.42117530307655</v>
      </c>
    </row>
    <row r="8" spans="1:3" x14ac:dyDescent="0.25">
      <c r="A8" s="15" t="s">
        <v>353</v>
      </c>
      <c r="B8" s="21">
        <v>278867.12999999995</v>
      </c>
      <c r="C8" s="23">
        <v>526.20253387441142</v>
      </c>
    </row>
    <row r="9" spans="1:3" x14ac:dyDescent="0.25">
      <c r="A9" s="15" t="s">
        <v>343</v>
      </c>
      <c r="B9" s="21">
        <v>263623.37000000005</v>
      </c>
      <c r="C9" s="23">
        <v>457.41007177354652</v>
      </c>
    </row>
    <row r="10" spans="1:3" x14ac:dyDescent="0.25">
      <c r="A10" s="15" t="s">
        <v>185</v>
      </c>
      <c r="B10" s="21">
        <v>1137168.3600000001</v>
      </c>
      <c r="C10" s="23">
        <v>1989.1277434179024</v>
      </c>
    </row>
    <row r="12" spans="1:3" x14ac:dyDescent="0.25">
      <c r="A12" s="14" t="s">
        <v>335</v>
      </c>
      <c r="B12" t="s">
        <v>477</v>
      </c>
    </row>
    <row r="13" spans="1:3" x14ac:dyDescent="0.25">
      <c r="A13" s="15" t="s">
        <v>346</v>
      </c>
      <c r="B13" s="21">
        <v>7.2249999999999996</v>
      </c>
    </row>
    <row r="14" spans="1:3" x14ac:dyDescent="0.25">
      <c r="A14" s="15" t="s">
        <v>223</v>
      </c>
      <c r="B14" s="21">
        <v>8.115384615384615</v>
      </c>
    </row>
    <row r="15" spans="1:3" x14ac:dyDescent="0.25">
      <c r="A15" s="15" t="s">
        <v>349</v>
      </c>
      <c r="B15" s="21">
        <v>7.7647058823529411</v>
      </c>
    </row>
    <row r="16" spans="1:3" x14ac:dyDescent="0.25">
      <c r="A16" s="15" t="s">
        <v>185</v>
      </c>
      <c r="B16" s="21">
        <v>7.64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3C38F5-EAEC-421D-9420-DEE6C3CFD0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Q1-6</vt:lpstr>
      <vt:lpstr>Q7</vt:lpstr>
      <vt:lpstr>Q8</vt:lpstr>
      <vt:lpstr>Q9</vt:lpstr>
      <vt:lpstr>Q10 part 1</vt:lpstr>
      <vt:lpstr>Q10 Part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jahid</dc:creator>
  <cp:lastModifiedBy>md jahid</cp:lastModifiedBy>
  <dcterms:created xsi:type="dcterms:W3CDTF">2026-05-01T12:23:51Z</dcterms:created>
  <dcterms:modified xsi:type="dcterms:W3CDTF">2026-05-01T17:35:57Z</dcterms:modified>
</cp:coreProperties>
</file>